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llin\TuteDude\Financial Analytics\HUL\"/>
    </mc:Choice>
  </mc:AlternateContent>
  <xr:revisionPtr revIDLastSave="0" documentId="8_{5985F219-3E16-4B99-A137-AD514DDDC373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Financial Statements" sheetId="7" r:id="rId7"/>
    <sheet name="Sheet2" sheetId="9" state="hidden" r:id="rId8"/>
    <sheet name="Common Size Statement" sheetId="14" r:id="rId9"/>
    <sheet name="Ratio Analysis" sheetId="8" r:id="rId10"/>
    <sheet name="Trend Analysis" sheetId="11" r:id="rId11"/>
    <sheet name="Comp Analysis" sheetId="12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D31" i="14" l="1"/>
  <c r="E31" i="14"/>
  <c r="F31" i="14"/>
  <c r="G31" i="14"/>
  <c r="H31" i="14"/>
  <c r="I31" i="14"/>
  <c r="J31" i="14"/>
  <c r="K31" i="14"/>
  <c r="L31" i="14"/>
  <c r="D32" i="14"/>
  <c r="E32" i="14"/>
  <c r="F32" i="14"/>
  <c r="G32" i="14"/>
  <c r="H32" i="14"/>
  <c r="I32" i="14"/>
  <c r="J32" i="14"/>
  <c r="K32" i="14"/>
  <c r="L32" i="14"/>
  <c r="D33" i="14"/>
  <c r="E33" i="14"/>
  <c r="F33" i="14"/>
  <c r="G33" i="14"/>
  <c r="H33" i="14"/>
  <c r="I33" i="14"/>
  <c r="J33" i="14"/>
  <c r="K33" i="14"/>
  <c r="L33" i="14"/>
  <c r="D34" i="14"/>
  <c r="E34" i="14"/>
  <c r="F34" i="14"/>
  <c r="G34" i="14"/>
  <c r="H34" i="14"/>
  <c r="I34" i="14"/>
  <c r="J34" i="14"/>
  <c r="K34" i="14"/>
  <c r="L34" i="14"/>
  <c r="D35" i="14"/>
  <c r="E35" i="14"/>
  <c r="F35" i="14"/>
  <c r="G35" i="14"/>
  <c r="H35" i="14"/>
  <c r="I35" i="14"/>
  <c r="J35" i="14"/>
  <c r="K35" i="14"/>
  <c r="L35" i="14"/>
  <c r="D36" i="14"/>
  <c r="E36" i="14"/>
  <c r="F36" i="14"/>
  <c r="G36" i="14"/>
  <c r="H36" i="14"/>
  <c r="I36" i="14"/>
  <c r="J36" i="14"/>
  <c r="K36" i="14"/>
  <c r="L36" i="14"/>
  <c r="D37" i="14"/>
  <c r="E37" i="14"/>
  <c r="F37" i="14"/>
  <c r="G37" i="14"/>
  <c r="H37" i="14"/>
  <c r="I37" i="14"/>
  <c r="J37" i="14"/>
  <c r="K37" i="14"/>
  <c r="L37" i="14"/>
  <c r="D38" i="14"/>
  <c r="E38" i="14"/>
  <c r="F38" i="14"/>
  <c r="G38" i="14"/>
  <c r="H38" i="14"/>
  <c r="I38" i="14"/>
  <c r="J38" i="14"/>
  <c r="K38" i="14"/>
  <c r="L38" i="14"/>
  <c r="D39" i="14"/>
  <c r="E39" i="14"/>
  <c r="F39" i="14"/>
  <c r="G39" i="14"/>
  <c r="H39" i="14"/>
  <c r="I39" i="14"/>
  <c r="J39" i="14"/>
  <c r="K39" i="14"/>
  <c r="L39" i="14"/>
  <c r="D41" i="14"/>
  <c r="E41" i="14"/>
  <c r="F41" i="14"/>
  <c r="G41" i="14"/>
  <c r="H41" i="14"/>
  <c r="I41" i="14"/>
  <c r="J41" i="14"/>
  <c r="K41" i="14"/>
  <c r="L41" i="14"/>
  <c r="C32" i="14"/>
  <c r="C33" i="14"/>
  <c r="C34" i="14"/>
  <c r="C35" i="14"/>
  <c r="C36" i="14"/>
  <c r="C37" i="14"/>
  <c r="C38" i="14"/>
  <c r="C39" i="14"/>
  <c r="C41" i="14"/>
  <c r="C31" i="14"/>
  <c r="D29" i="14"/>
  <c r="E29" i="14"/>
  <c r="F29" i="14"/>
  <c r="G29" i="14"/>
  <c r="H29" i="14"/>
  <c r="I29" i="14"/>
  <c r="J29" i="14"/>
  <c r="K29" i="14"/>
  <c r="L29" i="14"/>
  <c r="C29" i="14"/>
  <c r="D24" i="14"/>
  <c r="E24" i="14"/>
  <c r="F24" i="14"/>
  <c r="G24" i="14"/>
  <c r="H24" i="14"/>
  <c r="I24" i="14"/>
  <c r="J24" i="14"/>
  <c r="K24" i="14"/>
  <c r="L24" i="14"/>
  <c r="D25" i="14"/>
  <c r="E25" i="14"/>
  <c r="F25" i="14"/>
  <c r="G25" i="14"/>
  <c r="H25" i="14"/>
  <c r="I25" i="14"/>
  <c r="J25" i="14"/>
  <c r="K25" i="14"/>
  <c r="L25" i="14"/>
  <c r="D26" i="14"/>
  <c r="E26" i="14"/>
  <c r="F26" i="14"/>
  <c r="G26" i="14"/>
  <c r="H26" i="14"/>
  <c r="I26" i="14"/>
  <c r="J26" i="14"/>
  <c r="K26" i="14"/>
  <c r="L26" i="14"/>
  <c r="D27" i="14"/>
  <c r="E27" i="14"/>
  <c r="F27" i="14"/>
  <c r="G27" i="14"/>
  <c r="H27" i="14"/>
  <c r="I27" i="14"/>
  <c r="J27" i="14"/>
  <c r="K27" i="14"/>
  <c r="L27" i="14"/>
  <c r="D28" i="14"/>
  <c r="E28" i="14"/>
  <c r="F28" i="14"/>
  <c r="G28" i="14"/>
  <c r="H28" i="14"/>
  <c r="I28" i="14"/>
  <c r="J28" i="14"/>
  <c r="K28" i="14"/>
  <c r="L28" i="14"/>
  <c r="C25" i="14"/>
  <c r="C26" i="14"/>
  <c r="C27" i="14"/>
  <c r="C28" i="14"/>
  <c r="C24" i="14"/>
  <c r="D6" i="14"/>
  <c r="E6" i="14"/>
  <c r="F6" i="14"/>
  <c r="G6" i="14"/>
  <c r="H6" i="14"/>
  <c r="I6" i="14"/>
  <c r="J6" i="14"/>
  <c r="K6" i="14"/>
  <c r="L6" i="14"/>
  <c r="D7" i="14"/>
  <c r="E7" i="14"/>
  <c r="F7" i="14"/>
  <c r="G7" i="14"/>
  <c r="H7" i="14"/>
  <c r="I7" i="14"/>
  <c r="J7" i="14"/>
  <c r="K7" i="14"/>
  <c r="L7" i="14"/>
  <c r="D8" i="14"/>
  <c r="E8" i="14"/>
  <c r="F8" i="14"/>
  <c r="G8" i="14"/>
  <c r="H8" i="14"/>
  <c r="I8" i="14"/>
  <c r="J8" i="14"/>
  <c r="K8" i="14"/>
  <c r="L8" i="14"/>
  <c r="D9" i="14"/>
  <c r="E9" i="14"/>
  <c r="F9" i="14"/>
  <c r="G9" i="14"/>
  <c r="H9" i="14"/>
  <c r="I9" i="14"/>
  <c r="J9" i="14"/>
  <c r="K9" i="14"/>
  <c r="L9" i="14"/>
  <c r="D10" i="14"/>
  <c r="E10" i="14"/>
  <c r="F10" i="14"/>
  <c r="G10" i="14"/>
  <c r="H10" i="14"/>
  <c r="I10" i="14"/>
  <c r="J10" i="14"/>
  <c r="K10" i="14"/>
  <c r="L10" i="14"/>
  <c r="D11" i="14"/>
  <c r="E11" i="14"/>
  <c r="F11" i="14"/>
  <c r="G11" i="14"/>
  <c r="H11" i="14"/>
  <c r="I11" i="14"/>
  <c r="J11" i="14"/>
  <c r="K11" i="14"/>
  <c r="L11" i="14"/>
  <c r="D12" i="14"/>
  <c r="E12" i="14"/>
  <c r="F12" i="14"/>
  <c r="G12" i="14"/>
  <c r="H12" i="14"/>
  <c r="I12" i="14"/>
  <c r="J12" i="14"/>
  <c r="K12" i="14"/>
  <c r="L12" i="14"/>
  <c r="D13" i="14"/>
  <c r="E13" i="14"/>
  <c r="F13" i="14"/>
  <c r="G13" i="14"/>
  <c r="H13" i="14"/>
  <c r="I13" i="14"/>
  <c r="J13" i="14"/>
  <c r="K13" i="14"/>
  <c r="L13" i="14"/>
  <c r="D14" i="14"/>
  <c r="E14" i="14"/>
  <c r="F14" i="14"/>
  <c r="G14" i="14"/>
  <c r="H14" i="14"/>
  <c r="I14" i="14"/>
  <c r="J14" i="14"/>
  <c r="K14" i="14"/>
  <c r="L14" i="14"/>
  <c r="D15" i="14"/>
  <c r="E15" i="14"/>
  <c r="F15" i="14"/>
  <c r="G15" i="14"/>
  <c r="H15" i="14"/>
  <c r="I15" i="14"/>
  <c r="J15" i="14"/>
  <c r="K15" i="14"/>
  <c r="L15" i="14"/>
  <c r="D16" i="14"/>
  <c r="E16" i="14"/>
  <c r="F16" i="14"/>
  <c r="G16" i="14"/>
  <c r="H16" i="14"/>
  <c r="I16" i="14"/>
  <c r="J16" i="14"/>
  <c r="K16" i="14"/>
  <c r="L16" i="14"/>
  <c r="D17" i="14"/>
  <c r="E17" i="14"/>
  <c r="F17" i="14"/>
  <c r="G17" i="14"/>
  <c r="H17" i="14"/>
  <c r="I17" i="14"/>
  <c r="J17" i="14"/>
  <c r="K17" i="14"/>
  <c r="L17" i="14"/>
  <c r="D18" i="14"/>
  <c r="E18" i="14"/>
  <c r="F18" i="14"/>
  <c r="G18" i="14"/>
  <c r="H18" i="14"/>
  <c r="I18" i="14"/>
  <c r="J18" i="14"/>
  <c r="K18" i="14"/>
  <c r="L18" i="14"/>
  <c r="D19" i="14"/>
  <c r="E19" i="14"/>
  <c r="F19" i="14"/>
  <c r="G19" i="14"/>
  <c r="H19" i="14"/>
  <c r="I19" i="14"/>
  <c r="J19" i="14"/>
  <c r="K19" i="14"/>
  <c r="L19" i="14"/>
  <c r="C17" i="14"/>
  <c r="C18" i="14"/>
  <c r="C19" i="14"/>
  <c r="C16" i="14"/>
  <c r="C15" i="14"/>
  <c r="C14" i="14"/>
  <c r="C13" i="14"/>
  <c r="C12" i="14"/>
  <c r="C11" i="14"/>
  <c r="C10" i="14"/>
  <c r="C9" i="14"/>
  <c r="C8" i="14"/>
  <c r="C7" i="14"/>
  <c r="C6" i="14"/>
  <c r="D5" i="14"/>
  <c r="E5" i="14"/>
  <c r="F5" i="14"/>
  <c r="G5" i="14"/>
  <c r="H5" i="14"/>
  <c r="I5" i="14"/>
  <c r="J5" i="14"/>
  <c r="K5" i="14"/>
  <c r="L5" i="14"/>
  <c r="C5" i="14"/>
  <c r="D4" i="14"/>
  <c r="E4" i="14"/>
  <c r="F4" i="14"/>
  <c r="G4" i="14"/>
  <c r="H4" i="14"/>
  <c r="I4" i="14"/>
  <c r="J4" i="14"/>
  <c r="K4" i="14"/>
  <c r="L4" i="14"/>
  <c r="C4" i="14"/>
  <c r="D3" i="14"/>
  <c r="E3" i="14"/>
  <c r="F3" i="14"/>
  <c r="G3" i="14"/>
  <c r="H3" i="14"/>
  <c r="I3" i="14"/>
  <c r="J3" i="14"/>
  <c r="K3" i="14"/>
  <c r="L3" i="14"/>
  <c r="C3" i="14"/>
  <c r="K33" i="6"/>
  <c r="K32" i="6"/>
  <c r="C33" i="6"/>
  <c r="D33" i="6"/>
  <c r="E33" i="6"/>
  <c r="F33" i="6"/>
  <c r="G33" i="6"/>
  <c r="H33" i="6"/>
  <c r="I33" i="6"/>
  <c r="J33" i="6"/>
  <c r="B33" i="6"/>
  <c r="J32" i="6"/>
  <c r="C32" i="6"/>
  <c r="D32" i="6"/>
  <c r="E32" i="6"/>
  <c r="F32" i="6"/>
  <c r="G32" i="6"/>
  <c r="H32" i="6"/>
  <c r="I32" i="6"/>
  <c r="B32" i="6"/>
  <c r="O22" i="12"/>
  <c r="P22" i="12"/>
  <c r="N22" i="12"/>
  <c r="O21" i="12"/>
  <c r="P21" i="12"/>
  <c r="N21" i="12"/>
  <c r="O20" i="12"/>
  <c r="P20" i="12"/>
  <c r="N20" i="12"/>
  <c r="O19" i="12"/>
  <c r="P19" i="12"/>
  <c r="N19" i="12"/>
  <c r="O18" i="12"/>
  <c r="P18" i="12"/>
  <c r="N18" i="12"/>
  <c r="I5" i="12"/>
  <c r="J5" i="12"/>
  <c r="K5" i="12"/>
  <c r="L5" i="12"/>
  <c r="F8" i="12"/>
  <c r="F7" i="12"/>
  <c r="F6" i="12"/>
  <c r="F5" i="12"/>
  <c r="E6" i="12"/>
  <c r="E7" i="12"/>
  <c r="E8" i="12"/>
  <c r="E5" i="12"/>
  <c r="B2" i="12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4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C40" i="8"/>
  <c r="N36" i="8"/>
  <c r="O36" i="8"/>
  <c r="P36" i="8"/>
  <c r="Q36" i="8"/>
  <c r="N37" i="8"/>
  <c r="O37" i="8"/>
  <c r="P37" i="8"/>
  <c r="Q37" i="8"/>
  <c r="N38" i="8"/>
  <c r="O38" i="8"/>
  <c r="P38" i="8"/>
  <c r="Q38" i="8"/>
  <c r="M37" i="8"/>
  <c r="M38" i="8"/>
  <c r="M36" i="8"/>
  <c r="D38" i="8"/>
  <c r="E38" i="8"/>
  <c r="F38" i="8"/>
  <c r="G38" i="8"/>
  <c r="H38" i="8"/>
  <c r="I38" i="8"/>
  <c r="J38" i="8"/>
  <c r="K38" i="8"/>
  <c r="L38" i="8"/>
  <c r="D37" i="8"/>
  <c r="E37" i="8"/>
  <c r="F37" i="8"/>
  <c r="G37" i="8"/>
  <c r="H37" i="8"/>
  <c r="I37" i="8"/>
  <c r="J37" i="8"/>
  <c r="K37" i="8"/>
  <c r="L37" i="8"/>
  <c r="C38" i="8"/>
  <c r="C37" i="8"/>
  <c r="N32" i="8"/>
  <c r="O32" i="8"/>
  <c r="P32" i="8"/>
  <c r="Q32" i="8"/>
  <c r="M32" i="8"/>
  <c r="D36" i="8"/>
  <c r="E36" i="8"/>
  <c r="F36" i="8"/>
  <c r="G36" i="8"/>
  <c r="H36" i="8"/>
  <c r="I36" i="8"/>
  <c r="J36" i="8"/>
  <c r="K36" i="8"/>
  <c r="L36" i="8"/>
  <c r="C36" i="8"/>
  <c r="D32" i="8"/>
  <c r="E32" i="8"/>
  <c r="F32" i="8"/>
  <c r="G32" i="8"/>
  <c r="H32" i="8"/>
  <c r="I32" i="8"/>
  <c r="J32" i="8"/>
  <c r="K32" i="8"/>
  <c r="L32" i="8"/>
  <c r="C32" i="8"/>
  <c r="N31" i="8"/>
  <c r="O31" i="8"/>
  <c r="P31" i="8"/>
  <c r="Q31" i="8"/>
  <c r="M31" i="8"/>
  <c r="D31" i="8"/>
  <c r="E31" i="8"/>
  <c r="F31" i="8"/>
  <c r="G31" i="8"/>
  <c r="H31" i="8"/>
  <c r="I31" i="8"/>
  <c r="J31" i="8"/>
  <c r="K31" i="8"/>
  <c r="L31" i="8"/>
  <c r="C31" i="8"/>
  <c r="N30" i="8"/>
  <c r="O30" i="8"/>
  <c r="P30" i="8"/>
  <c r="Q30" i="8"/>
  <c r="M30" i="8"/>
  <c r="D30" i="8"/>
  <c r="E30" i="8"/>
  <c r="F30" i="8"/>
  <c r="G30" i="8"/>
  <c r="H30" i="8"/>
  <c r="I30" i="8"/>
  <c r="J30" i="8"/>
  <c r="K30" i="8"/>
  <c r="L30" i="8"/>
  <c r="C30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C27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C26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C25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C22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C21" i="8"/>
  <c r="K60" i="6"/>
  <c r="K7" i="2" s="1"/>
  <c r="J60" i="6"/>
  <c r="J7" i="2" s="1"/>
  <c r="D41" i="7"/>
  <c r="E41" i="7"/>
  <c r="F41" i="7"/>
  <c r="G41" i="7"/>
  <c r="H41" i="7"/>
  <c r="I41" i="7"/>
  <c r="J41" i="7"/>
  <c r="L41" i="7"/>
  <c r="N40" i="7"/>
  <c r="O40" i="7"/>
  <c r="P40" i="7"/>
  <c r="Q40" i="7"/>
  <c r="M40" i="7"/>
  <c r="D40" i="7"/>
  <c r="E40" i="7"/>
  <c r="F40" i="7"/>
  <c r="G40" i="7"/>
  <c r="H40" i="7"/>
  <c r="I40" i="7"/>
  <c r="J40" i="7"/>
  <c r="K40" i="7"/>
  <c r="L40" i="7"/>
  <c r="C41" i="7"/>
  <c r="C40" i="7"/>
  <c r="I60" i="6"/>
  <c r="I7" i="2" s="1"/>
  <c r="H60" i="6"/>
  <c r="G60" i="6"/>
  <c r="F60" i="6"/>
  <c r="F7" i="2" s="1"/>
  <c r="E60" i="6"/>
  <c r="D60" i="6"/>
  <c r="C60" i="6"/>
  <c r="B60" i="6"/>
  <c r="B7" i="2" s="1"/>
  <c r="L50" i="7"/>
  <c r="L49" i="7"/>
  <c r="L48" i="7"/>
  <c r="L51" i="7" s="1"/>
  <c r="L46" i="7"/>
  <c r="L45" i="7"/>
  <c r="L44" i="7"/>
  <c r="L43" i="7"/>
  <c r="L47" i="7" s="1"/>
  <c r="L39" i="7"/>
  <c r="L38" i="7"/>
  <c r="L37" i="7"/>
  <c r="L36" i="7"/>
  <c r="D50" i="7"/>
  <c r="E50" i="7"/>
  <c r="F50" i="7"/>
  <c r="G50" i="7"/>
  <c r="H50" i="7"/>
  <c r="I50" i="7"/>
  <c r="J50" i="7"/>
  <c r="K50" i="7"/>
  <c r="D49" i="7"/>
  <c r="E49" i="7"/>
  <c r="F49" i="7"/>
  <c r="G49" i="7"/>
  <c r="H49" i="7"/>
  <c r="I49" i="7"/>
  <c r="J49" i="7"/>
  <c r="K49" i="7"/>
  <c r="D48" i="7"/>
  <c r="D51" i="7" s="1"/>
  <c r="E48" i="7"/>
  <c r="E51" i="7" s="1"/>
  <c r="F48" i="7"/>
  <c r="F51" i="7" s="1"/>
  <c r="G48" i="7"/>
  <c r="G51" i="7" s="1"/>
  <c r="H48" i="7"/>
  <c r="H51" i="7" s="1"/>
  <c r="I48" i="7"/>
  <c r="I51" i="7" s="1"/>
  <c r="J48" i="7"/>
  <c r="J51" i="7" s="1"/>
  <c r="K48" i="7"/>
  <c r="K51" i="7" s="1"/>
  <c r="D46" i="7"/>
  <c r="E46" i="7"/>
  <c r="F46" i="7"/>
  <c r="G46" i="7"/>
  <c r="H46" i="7"/>
  <c r="I46" i="7"/>
  <c r="J46" i="7"/>
  <c r="K46" i="7"/>
  <c r="D45" i="7"/>
  <c r="E45" i="7"/>
  <c r="F45" i="7"/>
  <c r="G45" i="7"/>
  <c r="H45" i="7"/>
  <c r="I45" i="7"/>
  <c r="J45" i="7"/>
  <c r="K45" i="7"/>
  <c r="D44" i="7"/>
  <c r="E44" i="7"/>
  <c r="F44" i="7"/>
  <c r="G44" i="7"/>
  <c r="H44" i="7"/>
  <c r="I44" i="7"/>
  <c r="J44" i="7"/>
  <c r="K44" i="7"/>
  <c r="D43" i="7"/>
  <c r="D47" i="7" s="1"/>
  <c r="D53" i="7" s="1"/>
  <c r="E43" i="7"/>
  <c r="E47" i="7" s="1"/>
  <c r="E53" i="7" s="1"/>
  <c r="F43" i="7"/>
  <c r="F47" i="7" s="1"/>
  <c r="F53" i="7" s="1"/>
  <c r="G43" i="7"/>
  <c r="G47" i="7" s="1"/>
  <c r="G53" i="7" s="1"/>
  <c r="H43" i="7"/>
  <c r="H47" i="7" s="1"/>
  <c r="H53" i="7" s="1"/>
  <c r="I43" i="7"/>
  <c r="I47" i="7" s="1"/>
  <c r="I53" i="7" s="1"/>
  <c r="J43" i="7"/>
  <c r="J47" i="7" s="1"/>
  <c r="J53" i="7" s="1"/>
  <c r="K43" i="7"/>
  <c r="K47" i="7" s="1"/>
  <c r="K53" i="7" s="1"/>
  <c r="G39" i="7"/>
  <c r="H39" i="7"/>
  <c r="J39" i="7"/>
  <c r="K39" i="7"/>
  <c r="K41" i="7" s="1"/>
  <c r="D38" i="7"/>
  <c r="E38" i="7"/>
  <c r="F38" i="7"/>
  <c r="G38" i="7"/>
  <c r="H38" i="7"/>
  <c r="I38" i="7"/>
  <c r="J38" i="7"/>
  <c r="K38" i="7"/>
  <c r="C38" i="7"/>
  <c r="C39" i="7"/>
  <c r="C43" i="7"/>
  <c r="C44" i="7"/>
  <c r="C45" i="7"/>
  <c r="C46" i="7"/>
  <c r="C47" i="7"/>
  <c r="C48" i="7"/>
  <c r="C49" i="7"/>
  <c r="C50" i="7"/>
  <c r="C51" i="7"/>
  <c r="C53" i="7"/>
  <c r="D37" i="7"/>
  <c r="E37" i="7"/>
  <c r="F37" i="7"/>
  <c r="G37" i="7"/>
  <c r="H37" i="7"/>
  <c r="I37" i="7"/>
  <c r="J37" i="7"/>
  <c r="K37" i="7"/>
  <c r="D36" i="7"/>
  <c r="E36" i="7"/>
  <c r="F36" i="7"/>
  <c r="G36" i="7"/>
  <c r="H36" i="7"/>
  <c r="I36" i="7"/>
  <c r="J36" i="7"/>
  <c r="K36" i="7"/>
  <c r="C37" i="7"/>
  <c r="C36" i="7"/>
  <c r="B75" i="6"/>
  <c r="B74" i="6" s="1"/>
  <c r="C86" i="7"/>
  <c r="D86" i="7"/>
  <c r="E86" i="7"/>
  <c r="F86" i="7"/>
  <c r="G86" i="7"/>
  <c r="H86" i="7"/>
  <c r="I86" i="7"/>
  <c r="J86" i="7"/>
  <c r="K86" i="7"/>
  <c r="L86" i="7"/>
  <c r="C87" i="7"/>
  <c r="D87" i="7"/>
  <c r="E87" i="7"/>
  <c r="F87" i="7"/>
  <c r="G87" i="7"/>
  <c r="H87" i="7"/>
  <c r="I87" i="7"/>
  <c r="J87" i="7"/>
  <c r="K87" i="7"/>
  <c r="L87" i="7"/>
  <c r="C88" i="7"/>
  <c r="D88" i="7"/>
  <c r="E88" i="7"/>
  <c r="F88" i="7"/>
  <c r="G88" i="7"/>
  <c r="H88" i="7"/>
  <c r="I88" i="7"/>
  <c r="J88" i="7"/>
  <c r="K88" i="7"/>
  <c r="L88" i="7"/>
  <c r="C89" i="7"/>
  <c r="D89" i="7"/>
  <c r="E89" i="7"/>
  <c r="F89" i="7"/>
  <c r="G89" i="7"/>
  <c r="H89" i="7"/>
  <c r="I89" i="7"/>
  <c r="J89" i="7"/>
  <c r="K89" i="7"/>
  <c r="L89" i="7"/>
  <c r="C90" i="7"/>
  <c r="D90" i="7"/>
  <c r="E90" i="7"/>
  <c r="F90" i="7"/>
  <c r="G90" i="7"/>
  <c r="H90" i="7"/>
  <c r="I90" i="7"/>
  <c r="J90" i="7"/>
  <c r="K90" i="7"/>
  <c r="L90" i="7"/>
  <c r="D85" i="7"/>
  <c r="E85" i="7"/>
  <c r="F85" i="7"/>
  <c r="G85" i="7"/>
  <c r="H85" i="7"/>
  <c r="I85" i="7"/>
  <c r="J85" i="7"/>
  <c r="K85" i="7"/>
  <c r="L85" i="7"/>
  <c r="C85" i="7"/>
  <c r="D84" i="7"/>
  <c r="D91" i="7" s="1"/>
  <c r="E84" i="7"/>
  <c r="E91" i="7" s="1"/>
  <c r="F84" i="7"/>
  <c r="F91" i="7" s="1"/>
  <c r="G84" i="7"/>
  <c r="G91" i="7" s="1"/>
  <c r="H84" i="7"/>
  <c r="H91" i="7" s="1"/>
  <c r="I84" i="7"/>
  <c r="I91" i="7" s="1"/>
  <c r="J84" i="7"/>
  <c r="J91" i="7" s="1"/>
  <c r="K84" i="7"/>
  <c r="K91" i="7" s="1"/>
  <c r="L84" i="7"/>
  <c r="L91" i="7" s="1"/>
  <c r="C84" i="7"/>
  <c r="C91" i="7" s="1"/>
  <c r="C74" i="7"/>
  <c r="D74" i="7"/>
  <c r="E74" i="7"/>
  <c r="F74" i="7"/>
  <c r="G74" i="7"/>
  <c r="H74" i="7"/>
  <c r="I74" i="7"/>
  <c r="J74" i="7"/>
  <c r="K74" i="7"/>
  <c r="L74" i="7"/>
  <c r="C75" i="7"/>
  <c r="D75" i="7"/>
  <c r="E75" i="7"/>
  <c r="F75" i="7"/>
  <c r="G75" i="7"/>
  <c r="H75" i="7"/>
  <c r="I75" i="7"/>
  <c r="J75" i="7"/>
  <c r="K75" i="7"/>
  <c r="L75" i="7"/>
  <c r="C76" i="7"/>
  <c r="D76" i="7"/>
  <c r="E76" i="7"/>
  <c r="F76" i="7"/>
  <c r="G76" i="7"/>
  <c r="H76" i="7"/>
  <c r="I76" i="7"/>
  <c r="J76" i="7"/>
  <c r="K76" i="7"/>
  <c r="L76" i="7"/>
  <c r="C77" i="7"/>
  <c r="D77" i="7"/>
  <c r="E77" i="7"/>
  <c r="F77" i="7"/>
  <c r="G77" i="7"/>
  <c r="H77" i="7"/>
  <c r="I77" i="7"/>
  <c r="J77" i="7"/>
  <c r="K77" i="7"/>
  <c r="L77" i="7"/>
  <c r="C78" i="7"/>
  <c r="D78" i="7"/>
  <c r="E78" i="7"/>
  <c r="F78" i="7"/>
  <c r="G78" i="7"/>
  <c r="H78" i="7"/>
  <c r="I78" i="7"/>
  <c r="J78" i="7"/>
  <c r="K78" i="7"/>
  <c r="L78" i="7"/>
  <c r="C79" i="7"/>
  <c r="D79" i="7"/>
  <c r="E79" i="7"/>
  <c r="F79" i="7"/>
  <c r="G79" i="7"/>
  <c r="H79" i="7"/>
  <c r="I79" i="7"/>
  <c r="J79" i="7"/>
  <c r="K79" i="7"/>
  <c r="L79" i="7"/>
  <c r="C80" i="7"/>
  <c r="D80" i="7"/>
  <c r="E80" i="7"/>
  <c r="F80" i="7"/>
  <c r="G80" i="7"/>
  <c r="H80" i="7"/>
  <c r="I80" i="7"/>
  <c r="J80" i="7"/>
  <c r="K80" i="7"/>
  <c r="L80" i="7"/>
  <c r="D73" i="7"/>
  <c r="E73" i="7"/>
  <c r="F73" i="7"/>
  <c r="G73" i="7"/>
  <c r="H73" i="7"/>
  <c r="I73" i="7"/>
  <c r="J73" i="7"/>
  <c r="K73" i="7"/>
  <c r="L73" i="7"/>
  <c r="D72" i="7"/>
  <c r="E72" i="7"/>
  <c r="F72" i="7"/>
  <c r="G72" i="7"/>
  <c r="H72" i="7"/>
  <c r="I72" i="7"/>
  <c r="J72" i="7"/>
  <c r="K72" i="7"/>
  <c r="L72" i="7"/>
  <c r="C73" i="7"/>
  <c r="C72" i="7"/>
  <c r="C61" i="7"/>
  <c r="D61" i="7"/>
  <c r="E61" i="7"/>
  <c r="F61" i="7"/>
  <c r="G61" i="7"/>
  <c r="H61" i="7"/>
  <c r="I61" i="7"/>
  <c r="J61" i="7"/>
  <c r="K61" i="7"/>
  <c r="L61" i="7"/>
  <c r="C62" i="7"/>
  <c r="D62" i="7"/>
  <c r="E62" i="7"/>
  <c r="F62" i="7"/>
  <c r="G62" i="7"/>
  <c r="H62" i="7"/>
  <c r="I62" i="7"/>
  <c r="J62" i="7"/>
  <c r="K62" i="7"/>
  <c r="L62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C65" i="7"/>
  <c r="D65" i="7"/>
  <c r="E65" i="7"/>
  <c r="F65" i="7"/>
  <c r="G65" i="7"/>
  <c r="H65" i="7"/>
  <c r="I65" i="7"/>
  <c r="J65" i="7"/>
  <c r="K65" i="7"/>
  <c r="L65" i="7"/>
  <c r="C66" i="7"/>
  <c r="D66" i="7"/>
  <c r="E66" i="7"/>
  <c r="F66" i="7"/>
  <c r="G66" i="7"/>
  <c r="H66" i="7"/>
  <c r="I66" i="7"/>
  <c r="J66" i="7"/>
  <c r="K66" i="7"/>
  <c r="L66" i="7"/>
  <c r="C67" i="7"/>
  <c r="D67" i="7"/>
  <c r="E67" i="7"/>
  <c r="F67" i="7"/>
  <c r="G67" i="7"/>
  <c r="H67" i="7"/>
  <c r="I67" i="7"/>
  <c r="J67" i="7"/>
  <c r="K67" i="7"/>
  <c r="L67" i="7"/>
  <c r="C68" i="7"/>
  <c r="D68" i="7"/>
  <c r="E68" i="7"/>
  <c r="F68" i="7"/>
  <c r="G68" i="7"/>
  <c r="H68" i="7"/>
  <c r="I68" i="7"/>
  <c r="J68" i="7"/>
  <c r="K68" i="7"/>
  <c r="L68" i="7"/>
  <c r="D60" i="7"/>
  <c r="E60" i="7"/>
  <c r="F60" i="7"/>
  <c r="G60" i="7"/>
  <c r="H60" i="7"/>
  <c r="I60" i="7"/>
  <c r="J60" i="7"/>
  <c r="K60" i="7"/>
  <c r="L60" i="7"/>
  <c r="C60" i="7"/>
  <c r="D59" i="7"/>
  <c r="D69" i="7" s="1"/>
  <c r="E59" i="7"/>
  <c r="E69" i="7" s="1"/>
  <c r="F59" i="7"/>
  <c r="F69" i="7" s="1"/>
  <c r="G59" i="7"/>
  <c r="G69" i="7" s="1"/>
  <c r="H59" i="7"/>
  <c r="H69" i="7" s="1"/>
  <c r="I59" i="7"/>
  <c r="I69" i="7" s="1"/>
  <c r="J59" i="7"/>
  <c r="J69" i="7" s="1"/>
  <c r="K59" i="7"/>
  <c r="K69" i="7" s="1"/>
  <c r="L59" i="7"/>
  <c r="C59" i="7"/>
  <c r="D9" i="7"/>
  <c r="D19" i="8" s="1"/>
  <c r="E9" i="7"/>
  <c r="E19" i="8" s="1"/>
  <c r="F9" i="7"/>
  <c r="F19" i="8" s="1"/>
  <c r="G9" i="7"/>
  <c r="G19" i="8" s="1"/>
  <c r="H9" i="7"/>
  <c r="H19" i="8" s="1"/>
  <c r="I9" i="7"/>
  <c r="I19" i="8" s="1"/>
  <c r="J9" i="7"/>
  <c r="J19" i="8" s="1"/>
  <c r="K9" i="7"/>
  <c r="K19" i="8" s="1"/>
  <c r="L9" i="7"/>
  <c r="L19" i="8" s="1"/>
  <c r="C9" i="7"/>
  <c r="B2" i="8"/>
  <c r="M3" i="8"/>
  <c r="N3" i="8" s="1"/>
  <c r="O3" i="8" s="1"/>
  <c r="P3" i="8" s="1"/>
  <c r="Q3" i="8" s="1"/>
  <c r="L3" i="8"/>
  <c r="K3" i="8"/>
  <c r="J3" i="8"/>
  <c r="I3" i="8"/>
  <c r="H3" i="8"/>
  <c r="G3" i="8"/>
  <c r="F3" i="8"/>
  <c r="E3" i="8"/>
  <c r="D3" i="8"/>
  <c r="C3" i="8"/>
  <c r="L18" i="7"/>
  <c r="B2" i="7"/>
  <c r="M3" i="7"/>
  <c r="L3" i="7"/>
  <c r="K3" i="7"/>
  <c r="D28" i="7"/>
  <c r="E28" i="7"/>
  <c r="F28" i="7"/>
  <c r="G28" i="7"/>
  <c r="H28" i="7"/>
  <c r="I28" i="7"/>
  <c r="J28" i="7"/>
  <c r="K28" i="7"/>
  <c r="L28" i="7"/>
  <c r="C28" i="7"/>
  <c r="D23" i="7"/>
  <c r="E23" i="7"/>
  <c r="F23" i="7"/>
  <c r="G23" i="7"/>
  <c r="H23" i="7"/>
  <c r="I23" i="7"/>
  <c r="J23" i="7"/>
  <c r="K23" i="7"/>
  <c r="L23" i="7"/>
  <c r="C23" i="7"/>
  <c r="D18" i="7"/>
  <c r="E18" i="7"/>
  <c r="F18" i="7"/>
  <c r="G18" i="7"/>
  <c r="H18" i="7"/>
  <c r="I18" i="7"/>
  <c r="J18" i="7"/>
  <c r="K18" i="7"/>
  <c r="C18" i="7"/>
  <c r="C13" i="7"/>
  <c r="D13" i="7"/>
  <c r="E13" i="7"/>
  <c r="F13" i="7"/>
  <c r="G13" i="7"/>
  <c r="H13" i="7"/>
  <c r="I13" i="7"/>
  <c r="J13" i="7"/>
  <c r="K13" i="7"/>
  <c r="L13" i="7"/>
  <c r="D6" i="7"/>
  <c r="E6" i="7"/>
  <c r="F6" i="7"/>
  <c r="G6" i="7"/>
  <c r="H6" i="7"/>
  <c r="I6" i="7"/>
  <c r="J6" i="7"/>
  <c r="K6" i="7"/>
  <c r="L6" i="7"/>
  <c r="C6" i="7"/>
  <c r="D3" i="7"/>
  <c r="E3" i="7"/>
  <c r="F3" i="7"/>
  <c r="G3" i="7"/>
  <c r="H3" i="7"/>
  <c r="I3" i="7"/>
  <c r="J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G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I6" i="1" s="1"/>
  <c r="I19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F13" i="1" s="1"/>
  <c r="G12" i="1"/>
  <c r="G13" i="1" s="1"/>
  <c r="H12" i="1"/>
  <c r="H13" i="1" s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E1" i="2"/>
  <c r="E1" i="3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L12" i="1"/>
  <c r="L11" i="1"/>
  <c r="L10" i="1"/>
  <c r="N11" i="1" s="1"/>
  <c r="L6" i="1"/>
  <c r="L4" i="1"/>
  <c r="A1" i="3"/>
  <c r="A1" i="2"/>
  <c r="A1" i="4" s="1"/>
  <c r="H23" i="1"/>
  <c r="I23" i="1"/>
  <c r="J23" i="1"/>
  <c r="L5" i="1"/>
  <c r="M11" i="1"/>
  <c r="G6" i="12" l="1"/>
  <c r="P6" i="12"/>
  <c r="G7" i="12"/>
  <c r="P7" i="12"/>
  <c r="G8" i="12"/>
  <c r="P8" i="12"/>
  <c r="G5" i="12"/>
  <c r="P5" i="12"/>
  <c r="H7" i="2"/>
  <c r="I39" i="7"/>
  <c r="E7" i="2"/>
  <c r="F39" i="7"/>
  <c r="D7" i="2"/>
  <c r="E39" i="7"/>
  <c r="C7" i="2"/>
  <c r="C16" i="2" s="1"/>
  <c r="D39" i="7"/>
  <c r="F14" i="1"/>
  <c r="J14" i="1"/>
  <c r="C19" i="8"/>
  <c r="G14" i="1"/>
  <c r="K14" i="1"/>
  <c r="C21" i="2"/>
  <c r="D21" i="2"/>
  <c r="E21" i="2"/>
  <c r="F21" i="2"/>
  <c r="G21" i="2"/>
  <c r="H21" i="2"/>
  <c r="I21" i="2"/>
  <c r="J21" i="2"/>
  <c r="K21" i="2"/>
  <c r="C23" i="2"/>
  <c r="D23" i="2"/>
  <c r="F23" i="2"/>
  <c r="G23" i="2"/>
  <c r="J23" i="2"/>
  <c r="D16" i="2"/>
  <c r="G16" i="2"/>
  <c r="I16" i="2"/>
  <c r="K16" i="2"/>
  <c r="H23" i="2"/>
  <c r="K23" i="2"/>
  <c r="F16" i="2"/>
  <c r="H16" i="2"/>
  <c r="L13" i="8"/>
  <c r="D14" i="8"/>
  <c r="D13" i="8"/>
  <c r="E13" i="8"/>
  <c r="E14" i="8"/>
  <c r="F14" i="8"/>
  <c r="F13" i="8"/>
  <c r="G13" i="8"/>
  <c r="G14" i="8"/>
  <c r="H14" i="8"/>
  <c r="H13" i="8"/>
  <c r="I14" i="8"/>
  <c r="I13" i="8"/>
  <c r="J14" i="8"/>
  <c r="J13" i="8"/>
  <c r="K14" i="8"/>
  <c r="K13" i="8"/>
  <c r="C14" i="8"/>
  <c r="C13" i="8"/>
  <c r="M36" i="7"/>
  <c r="M62" i="7"/>
  <c r="M63" i="7"/>
  <c r="M65" i="7"/>
  <c r="M66" i="7"/>
  <c r="M67" i="7"/>
  <c r="M68" i="7"/>
  <c r="M59" i="7"/>
  <c r="M49" i="7"/>
  <c r="M93" i="7"/>
  <c r="M84" i="7"/>
  <c r="M91" i="7"/>
  <c r="M90" i="7"/>
  <c r="M89" i="7"/>
  <c r="M88" i="7"/>
  <c r="M87" i="7"/>
  <c r="M86" i="7"/>
  <c r="M85" i="7"/>
  <c r="M50" i="7"/>
  <c r="M48" i="7"/>
  <c r="M51" i="7" s="1"/>
  <c r="M44" i="7"/>
  <c r="M45" i="7"/>
  <c r="M46" i="7"/>
  <c r="M43" i="7"/>
  <c r="M47" i="7" s="1"/>
  <c r="M53" i="7" s="1"/>
  <c r="M38" i="7"/>
  <c r="M37" i="7"/>
  <c r="M77" i="7"/>
  <c r="M73" i="7"/>
  <c r="M74" i="7"/>
  <c r="M75" i="7"/>
  <c r="M76" i="7"/>
  <c r="M64" i="7"/>
  <c r="M78" i="7"/>
  <c r="M79" i="7"/>
  <c r="M80" i="7"/>
  <c r="M72" i="7"/>
  <c r="M81" i="7" s="1"/>
  <c r="M60" i="7"/>
  <c r="M61" i="7"/>
  <c r="D20" i="8"/>
  <c r="D18" i="8"/>
  <c r="E20" i="8"/>
  <c r="E18" i="8"/>
  <c r="F20" i="8"/>
  <c r="F18" i="8"/>
  <c r="G20" i="8"/>
  <c r="G18" i="8"/>
  <c r="H20" i="8"/>
  <c r="H18" i="8"/>
  <c r="I20" i="8"/>
  <c r="I18" i="8"/>
  <c r="J20" i="8"/>
  <c r="J18" i="8"/>
  <c r="K20" i="8"/>
  <c r="K18" i="8"/>
  <c r="L20" i="8"/>
  <c r="C10" i="7"/>
  <c r="C20" i="8"/>
  <c r="C18" i="8"/>
  <c r="I13" i="1"/>
  <c r="I23" i="2"/>
  <c r="B13" i="1"/>
  <c r="B23" i="2"/>
  <c r="L53" i="7"/>
  <c r="C81" i="7"/>
  <c r="D81" i="7"/>
  <c r="E81" i="7"/>
  <c r="F81" i="7"/>
  <c r="G81" i="7"/>
  <c r="H81" i="7"/>
  <c r="I81" i="7"/>
  <c r="J81" i="7"/>
  <c r="K81" i="7"/>
  <c r="L81" i="7"/>
  <c r="L69" i="7"/>
  <c r="C69" i="7"/>
  <c r="M9" i="7"/>
  <c r="M18" i="7"/>
  <c r="M28" i="7"/>
  <c r="M23" i="7"/>
  <c r="M13" i="7"/>
  <c r="M6" i="7"/>
  <c r="N3" i="7"/>
  <c r="D93" i="7"/>
  <c r="F93" i="7"/>
  <c r="I93" i="7"/>
  <c r="K93" i="7"/>
  <c r="C93" i="7"/>
  <c r="E93" i="7"/>
  <c r="G93" i="7"/>
  <c r="H93" i="7"/>
  <c r="J93" i="7"/>
  <c r="L93" i="7"/>
  <c r="C11" i="7"/>
  <c r="C5" i="8" s="1"/>
  <c r="M7" i="7"/>
  <c r="D10" i="7"/>
  <c r="D7" i="7"/>
  <c r="E10" i="7"/>
  <c r="E7" i="7"/>
  <c r="F10" i="7"/>
  <c r="F7" i="7"/>
  <c r="G10" i="7"/>
  <c r="G7" i="7"/>
  <c r="H10" i="7"/>
  <c r="H7" i="7"/>
  <c r="I10" i="7"/>
  <c r="I7" i="7"/>
  <c r="J10" i="7"/>
  <c r="J11" i="7" s="1"/>
  <c r="J5" i="8" s="1"/>
  <c r="J7" i="7"/>
  <c r="K10" i="7"/>
  <c r="K11" i="7" s="1"/>
  <c r="K5" i="8" s="1"/>
  <c r="K7" i="7"/>
  <c r="L10" i="7"/>
  <c r="L11" i="7" s="1"/>
  <c r="L5" i="8" s="1"/>
  <c r="L7" i="7"/>
  <c r="J15" i="7"/>
  <c r="J16" i="7" s="1"/>
  <c r="J6" i="8" s="1"/>
  <c r="K15" i="7"/>
  <c r="K16" i="7" s="1"/>
  <c r="K6" i="8" s="1"/>
  <c r="L15" i="7"/>
  <c r="L16" i="7" s="1"/>
  <c r="L6" i="8" s="1"/>
  <c r="C15" i="7"/>
  <c r="E16" i="2"/>
  <c r="J16" i="2"/>
  <c r="C24" i="2"/>
  <c r="L7" i="1"/>
  <c r="L8" i="1"/>
  <c r="L9" i="1"/>
  <c r="N9" i="1" s="1"/>
  <c r="F20" i="2"/>
  <c r="H14" i="1"/>
  <c r="I14" i="1"/>
  <c r="B14" i="1"/>
  <c r="B20" i="2"/>
  <c r="B16" i="2"/>
  <c r="L19" i="1"/>
  <c r="L24" i="1" s="1"/>
  <c r="E24" i="2"/>
  <c r="F24" i="2"/>
  <c r="H24" i="2"/>
  <c r="I24" i="2"/>
  <c r="K24" i="2"/>
  <c r="D24" i="2"/>
  <c r="G24" i="2"/>
  <c r="J24" i="2"/>
  <c r="D13" i="1"/>
  <c r="B6" i="1"/>
  <c r="B19" i="1" s="1"/>
  <c r="L13" i="1"/>
  <c r="L14" i="1" s="1"/>
  <c r="L25" i="1" s="1"/>
  <c r="C6" i="1"/>
  <c r="C19" i="1" s="1"/>
  <c r="C20" i="2"/>
  <c r="D6" i="1"/>
  <c r="D19" i="1" s="1"/>
  <c r="D20" i="2"/>
  <c r="E6" i="1"/>
  <c r="E19" i="1" s="1"/>
  <c r="E20" i="2"/>
  <c r="G6" i="1"/>
  <c r="G19" i="1" s="1"/>
  <c r="G20" i="2"/>
  <c r="J6" i="1"/>
  <c r="J19" i="1" s="1"/>
  <c r="L23" i="1"/>
  <c r="J20" i="2"/>
  <c r="K6" i="1"/>
  <c r="K19" i="1" s="1"/>
  <c r="K20" i="2"/>
  <c r="J25" i="1"/>
  <c r="M9" i="1"/>
  <c r="I20" i="2"/>
  <c r="H20" i="2"/>
  <c r="K23" i="1"/>
  <c r="H6" i="1"/>
  <c r="H19" i="1" s="1"/>
  <c r="J24" i="1" s="1"/>
  <c r="F6" i="1"/>
  <c r="F19" i="1" s="1"/>
  <c r="I24" i="1" s="1"/>
  <c r="E1" i="4"/>
  <c r="N6" i="12" l="1"/>
  <c r="O6" i="12"/>
  <c r="N7" i="12"/>
  <c r="O7" i="12"/>
  <c r="N8" i="12"/>
  <c r="O8" i="12"/>
  <c r="N5" i="12"/>
  <c r="O5" i="12"/>
  <c r="P10" i="12"/>
  <c r="P11" i="12"/>
  <c r="P12" i="12"/>
  <c r="P13" i="12"/>
  <c r="P14" i="12"/>
  <c r="P15" i="12"/>
  <c r="M39" i="7"/>
  <c r="M41" i="7" s="1"/>
  <c r="M19" i="8"/>
  <c r="K25" i="1"/>
  <c r="M25" i="1" s="1"/>
  <c r="M14" i="1" s="1"/>
  <c r="K24" i="1"/>
  <c r="M24" i="1" s="1"/>
  <c r="N23" i="1"/>
  <c r="N4" i="1" s="1"/>
  <c r="M13" i="8"/>
  <c r="M14" i="8"/>
  <c r="M69" i="7"/>
  <c r="L14" i="8"/>
  <c r="L18" i="8"/>
  <c r="M18" i="8"/>
  <c r="M20" i="8"/>
  <c r="N87" i="7"/>
  <c r="N93" i="7"/>
  <c r="N84" i="7"/>
  <c r="N85" i="7"/>
  <c r="N86" i="7"/>
  <c r="N37" i="7"/>
  <c r="N88" i="7"/>
  <c r="N89" i="7"/>
  <c r="N90" i="7"/>
  <c r="N91" i="7"/>
  <c r="N72" i="7"/>
  <c r="N73" i="7"/>
  <c r="N74" i="7"/>
  <c r="N36" i="7"/>
  <c r="N75" i="7"/>
  <c r="N76" i="7"/>
  <c r="N77" i="7"/>
  <c r="N78" i="7"/>
  <c r="N79" i="7"/>
  <c r="N80" i="7"/>
  <c r="N59" i="7"/>
  <c r="N60" i="7"/>
  <c r="N61" i="7"/>
  <c r="N62" i="7"/>
  <c r="N63" i="7"/>
  <c r="N64" i="7"/>
  <c r="N65" i="7"/>
  <c r="N66" i="7"/>
  <c r="N67" i="7"/>
  <c r="N68" i="7"/>
  <c r="N48" i="7"/>
  <c r="N51" i="7" s="1"/>
  <c r="N49" i="7"/>
  <c r="N50" i="7"/>
  <c r="N43" i="7"/>
  <c r="N44" i="7"/>
  <c r="N45" i="7"/>
  <c r="N46" i="7"/>
  <c r="N38" i="7"/>
  <c r="N39" i="7"/>
  <c r="N41" i="7" s="1"/>
  <c r="I11" i="7"/>
  <c r="I5" i="8" s="1"/>
  <c r="I15" i="7"/>
  <c r="E11" i="7"/>
  <c r="E5" i="8" s="1"/>
  <c r="E15" i="7"/>
  <c r="F11" i="7"/>
  <c r="F5" i="8" s="1"/>
  <c r="F15" i="7"/>
  <c r="G11" i="7"/>
  <c r="G5" i="8" s="1"/>
  <c r="G15" i="7"/>
  <c r="H11" i="7"/>
  <c r="H5" i="8" s="1"/>
  <c r="H15" i="7"/>
  <c r="O3" i="7"/>
  <c r="N6" i="7"/>
  <c r="N13" i="7"/>
  <c r="N23" i="7"/>
  <c r="N28" i="7"/>
  <c r="N18" i="7"/>
  <c r="N9" i="7"/>
  <c r="N10" i="7"/>
  <c r="M10" i="7"/>
  <c r="M11" i="7" s="1"/>
  <c r="M5" i="8" s="1"/>
  <c r="D11" i="7"/>
  <c r="D5" i="8" s="1"/>
  <c r="C16" i="7"/>
  <c r="C6" i="8" s="1"/>
  <c r="D15" i="7"/>
  <c r="J20" i="7"/>
  <c r="K20" i="7"/>
  <c r="L20" i="7"/>
  <c r="L15" i="8" s="1"/>
  <c r="C20" i="7"/>
  <c r="D14" i="1"/>
  <c r="E13" i="1"/>
  <c r="E14" i="1" s="1"/>
  <c r="I25" i="1" s="1"/>
  <c r="H24" i="1"/>
  <c r="N24" i="1" s="1"/>
  <c r="N6" i="1" s="1"/>
  <c r="M23" i="1"/>
  <c r="M4" i="1" s="1"/>
  <c r="N8" i="1"/>
  <c r="M8" i="1"/>
  <c r="M6" i="1"/>
  <c r="M10" i="1" s="1"/>
  <c r="M12" i="1" s="1"/>
  <c r="M13" i="1" s="1"/>
  <c r="M15" i="1" s="1"/>
  <c r="N10" i="12" l="1"/>
  <c r="N11" i="12"/>
  <c r="N12" i="12"/>
  <c r="N13" i="12"/>
  <c r="N14" i="12"/>
  <c r="N15" i="12"/>
  <c r="O10" i="12"/>
  <c r="O11" i="12"/>
  <c r="O12" i="12"/>
  <c r="O13" i="12"/>
  <c r="O14" i="12"/>
  <c r="O15" i="12"/>
  <c r="N19" i="8"/>
  <c r="N13" i="8"/>
  <c r="N69" i="7"/>
  <c r="N81" i="7"/>
  <c r="H25" i="1"/>
  <c r="N25" i="1" s="1"/>
  <c r="N14" i="1" s="1"/>
  <c r="N47" i="7"/>
  <c r="N53" i="7" s="1"/>
  <c r="N14" i="8" s="1"/>
  <c r="O10" i="7"/>
  <c r="O86" i="7"/>
  <c r="O43" i="7"/>
  <c r="O45" i="7"/>
  <c r="O46" i="7"/>
  <c r="O38" i="7"/>
  <c r="O78" i="7"/>
  <c r="O39" i="7"/>
  <c r="O41" i="7" s="1"/>
  <c r="O93" i="7"/>
  <c r="O84" i="7"/>
  <c r="O85" i="7"/>
  <c r="O37" i="7"/>
  <c r="O87" i="7"/>
  <c r="O88" i="7"/>
  <c r="O89" i="7"/>
  <c r="O90" i="7"/>
  <c r="O91" i="7"/>
  <c r="O72" i="7"/>
  <c r="O73" i="7"/>
  <c r="O74" i="7"/>
  <c r="O36" i="7"/>
  <c r="O75" i="7"/>
  <c r="O76" i="7"/>
  <c r="O77" i="7"/>
  <c r="O44" i="7"/>
  <c r="O79" i="7"/>
  <c r="O80" i="7"/>
  <c r="O59" i="7"/>
  <c r="O60" i="7"/>
  <c r="O61" i="7"/>
  <c r="O62" i="7"/>
  <c r="O63" i="7"/>
  <c r="O64" i="7"/>
  <c r="O65" i="7"/>
  <c r="O66" i="7"/>
  <c r="O67" i="7"/>
  <c r="O68" i="7"/>
  <c r="O48" i="7"/>
  <c r="O49" i="7"/>
  <c r="O50" i="7"/>
  <c r="N7" i="7"/>
  <c r="N18" i="8"/>
  <c r="N20" i="8"/>
  <c r="J21" i="7"/>
  <c r="J7" i="8" s="1"/>
  <c r="J15" i="8"/>
  <c r="K21" i="7"/>
  <c r="K7" i="8" s="1"/>
  <c r="K15" i="8"/>
  <c r="C21" i="7"/>
  <c r="C7" i="8" s="1"/>
  <c r="C15" i="8"/>
  <c r="N11" i="7"/>
  <c r="N5" i="8" s="1"/>
  <c r="I16" i="7"/>
  <c r="I6" i="8" s="1"/>
  <c r="I20" i="7"/>
  <c r="I15" i="8" s="1"/>
  <c r="E16" i="7"/>
  <c r="E6" i="8" s="1"/>
  <c r="E20" i="7"/>
  <c r="E15" i="8" s="1"/>
  <c r="F16" i="7"/>
  <c r="F6" i="8" s="1"/>
  <c r="F20" i="7"/>
  <c r="F15" i="8" s="1"/>
  <c r="G16" i="7"/>
  <c r="G6" i="8" s="1"/>
  <c r="G20" i="7"/>
  <c r="G15" i="8" s="1"/>
  <c r="H16" i="7"/>
  <c r="H6" i="8" s="1"/>
  <c r="H20" i="7"/>
  <c r="H15" i="8" s="1"/>
  <c r="O6" i="7"/>
  <c r="O13" i="7"/>
  <c r="O23" i="7"/>
  <c r="O28" i="7"/>
  <c r="O18" i="7"/>
  <c r="O9" i="7"/>
  <c r="O19" i="8" s="1"/>
  <c r="P3" i="7"/>
  <c r="D20" i="7"/>
  <c r="D15" i="8" s="1"/>
  <c r="N15" i="7"/>
  <c r="N16" i="7" s="1"/>
  <c r="N6" i="8" s="1"/>
  <c r="O15" i="7"/>
  <c r="M15" i="7"/>
  <c r="M16" i="7" s="1"/>
  <c r="M6" i="8" s="1"/>
  <c r="D16" i="7"/>
  <c r="D6" i="8" s="1"/>
  <c r="L21" i="7"/>
  <c r="L7" i="8" s="1"/>
  <c r="C25" i="7"/>
  <c r="J25" i="7"/>
  <c r="K25" i="7"/>
  <c r="L25" i="7"/>
  <c r="N5" i="1"/>
  <c r="N10" i="1"/>
  <c r="N12" i="1" s="1"/>
  <c r="N13" i="1" s="1"/>
  <c r="N15" i="1" s="1"/>
  <c r="M5" i="1"/>
  <c r="O13" i="8" l="1"/>
  <c r="O51" i="7"/>
  <c r="O47" i="7"/>
  <c r="O53" i="7" s="1"/>
  <c r="O14" i="8" s="1"/>
  <c r="O81" i="7"/>
  <c r="O69" i="7"/>
  <c r="O20" i="8"/>
  <c r="O18" i="8"/>
  <c r="P15" i="7"/>
  <c r="P37" i="7"/>
  <c r="P93" i="7"/>
  <c r="P84" i="7"/>
  <c r="P85" i="7"/>
  <c r="P86" i="7"/>
  <c r="P87" i="7"/>
  <c r="P88" i="7"/>
  <c r="P89" i="7"/>
  <c r="P90" i="7"/>
  <c r="P91" i="7"/>
  <c r="P72" i="7"/>
  <c r="P73" i="7"/>
  <c r="P74" i="7"/>
  <c r="P36" i="7"/>
  <c r="P75" i="7"/>
  <c r="P76" i="7"/>
  <c r="P77" i="7"/>
  <c r="P78" i="7"/>
  <c r="P79" i="7"/>
  <c r="P80" i="7"/>
  <c r="P59" i="7"/>
  <c r="P60" i="7"/>
  <c r="P61" i="7"/>
  <c r="P62" i="7"/>
  <c r="P63" i="7"/>
  <c r="P64" i="7"/>
  <c r="P65" i="7"/>
  <c r="P66" i="7"/>
  <c r="P67" i="7"/>
  <c r="P68" i="7"/>
  <c r="P48" i="7"/>
  <c r="P49" i="7"/>
  <c r="P50" i="7"/>
  <c r="P43" i="7"/>
  <c r="P44" i="7"/>
  <c r="P45" i="7"/>
  <c r="P46" i="7"/>
  <c r="P38" i="7"/>
  <c r="P39" i="7"/>
  <c r="P41" i="7" s="1"/>
  <c r="I21" i="7"/>
  <c r="I7" i="8" s="1"/>
  <c r="I25" i="7"/>
  <c r="O16" i="7"/>
  <c r="O6" i="8" s="1"/>
  <c r="E21" i="7"/>
  <c r="E7" i="8" s="1"/>
  <c r="E25" i="7"/>
  <c r="F21" i="7"/>
  <c r="F7" i="8" s="1"/>
  <c r="F25" i="7"/>
  <c r="G21" i="7"/>
  <c r="G7" i="8" s="1"/>
  <c r="G25" i="7"/>
  <c r="H21" i="7"/>
  <c r="H7" i="8" s="1"/>
  <c r="H25" i="7"/>
  <c r="O11" i="7"/>
  <c r="O5" i="8" s="1"/>
  <c r="O7" i="7"/>
  <c r="P10" i="7"/>
  <c r="P6" i="7"/>
  <c r="P13" i="7"/>
  <c r="P23" i="7"/>
  <c r="P28" i="7"/>
  <c r="P18" i="7"/>
  <c r="P9" i="7"/>
  <c r="P19" i="8" s="1"/>
  <c r="Q3" i="7"/>
  <c r="P20" i="7"/>
  <c r="M20" i="7"/>
  <c r="Q20" i="7"/>
  <c r="N20" i="7"/>
  <c r="O20" i="7"/>
  <c r="D21" i="7"/>
  <c r="D7" i="8" s="1"/>
  <c r="D25" i="7"/>
  <c r="J30" i="7"/>
  <c r="J26" i="7"/>
  <c r="K30" i="7"/>
  <c r="K26" i="7"/>
  <c r="C30" i="7"/>
  <c r="C26" i="7"/>
  <c r="L30" i="7"/>
  <c r="L26" i="7"/>
  <c r="P13" i="8" l="1"/>
  <c r="P81" i="7"/>
  <c r="P69" i="7"/>
  <c r="P51" i="7"/>
  <c r="P47" i="7"/>
  <c r="P53" i="7" s="1"/>
  <c r="P14" i="8" s="1"/>
  <c r="P20" i="8"/>
  <c r="P18" i="8"/>
  <c r="Q66" i="7"/>
  <c r="Q67" i="7"/>
  <c r="Q68" i="7"/>
  <c r="Q36" i="7"/>
  <c r="Q48" i="7"/>
  <c r="Q49" i="7"/>
  <c r="Q43" i="7"/>
  <c r="Q44" i="7"/>
  <c r="Q45" i="7"/>
  <c r="Q46" i="7"/>
  <c r="Q38" i="7"/>
  <c r="Q39" i="7"/>
  <c r="Q41" i="7" s="1"/>
  <c r="Q37" i="7"/>
  <c r="Q93" i="7"/>
  <c r="Q84" i="7"/>
  <c r="Q85" i="7"/>
  <c r="Q86" i="7"/>
  <c r="Q87" i="7"/>
  <c r="Q88" i="7"/>
  <c r="Q89" i="7"/>
  <c r="Q90" i="7"/>
  <c r="Q91" i="7"/>
  <c r="Q72" i="7"/>
  <c r="Q73" i="7"/>
  <c r="Q50" i="7"/>
  <c r="Q74" i="7"/>
  <c r="Q75" i="7"/>
  <c r="Q76" i="7"/>
  <c r="Q77" i="7"/>
  <c r="Q78" i="7"/>
  <c r="Q79" i="7"/>
  <c r="Q80" i="7"/>
  <c r="Q59" i="7"/>
  <c r="Q60" i="7"/>
  <c r="Q61" i="7"/>
  <c r="Q62" i="7"/>
  <c r="Q63" i="7"/>
  <c r="Q64" i="7"/>
  <c r="Q65" i="7"/>
  <c r="P21" i="7"/>
  <c r="P7" i="8" s="1"/>
  <c r="P15" i="8"/>
  <c r="M21" i="7"/>
  <c r="M7" i="8" s="1"/>
  <c r="M15" i="8"/>
  <c r="N21" i="7"/>
  <c r="N7" i="8" s="1"/>
  <c r="N15" i="8"/>
  <c r="O21" i="7"/>
  <c r="O7" i="8" s="1"/>
  <c r="O15" i="8"/>
  <c r="J31" i="7"/>
  <c r="J8" i="8" s="1"/>
  <c r="J10" i="8"/>
  <c r="J9" i="8"/>
  <c r="K31" i="7"/>
  <c r="K8" i="8" s="1"/>
  <c r="K10" i="8"/>
  <c r="K9" i="8"/>
  <c r="C31" i="7"/>
  <c r="C8" i="8" s="1"/>
  <c r="C10" i="8"/>
  <c r="C9" i="8"/>
  <c r="L10" i="8"/>
  <c r="L9" i="8"/>
  <c r="I30" i="7"/>
  <c r="I26" i="7"/>
  <c r="P11" i="7"/>
  <c r="P5" i="8" s="1"/>
  <c r="E30" i="7"/>
  <c r="E26" i="7"/>
  <c r="F30" i="7"/>
  <c r="F26" i="7"/>
  <c r="G26" i="7"/>
  <c r="G30" i="7"/>
  <c r="H26" i="7"/>
  <c r="H30" i="7"/>
  <c r="Q25" i="7"/>
  <c r="O25" i="7"/>
  <c r="O26" i="7" s="1"/>
  <c r="N25" i="7"/>
  <c r="N26" i="7" s="1"/>
  <c r="P25" i="7"/>
  <c r="P26" i="7" s="1"/>
  <c r="M25" i="7"/>
  <c r="M26" i="7" s="1"/>
  <c r="P7" i="7"/>
  <c r="P16" i="7"/>
  <c r="P6" i="8" s="1"/>
  <c r="Q15" i="7"/>
  <c r="Q10" i="7"/>
  <c r="Q6" i="7"/>
  <c r="Q13" i="7"/>
  <c r="Q23" i="7"/>
  <c r="Q15" i="8" s="1"/>
  <c r="Q28" i="7"/>
  <c r="Q18" i="7"/>
  <c r="Q9" i="7"/>
  <c r="Q19" i="8" s="1"/>
  <c r="D26" i="7"/>
  <c r="D30" i="7"/>
  <c r="L31" i="7"/>
  <c r="L8" i="8" s="1"/>
  <c r="Q47" i="7" l="1"/>
  <c r="Q13" i="8"/>
  <c r="Q81" i="7"/>
  <c r="Q69" i="7"/>
  <c r="Q51" i="7"/>
  <c r="Q53" i="7" s="1"/>
  <c r="I31" i="7"/>
  <c r="I8" i="8" s="1"/>
  <c r="I10" i="8"/>
  <c r="I9" i="8"/>
  <c r="E31" i="7"/>
  <c r="E8" i="8" s="1"/>
  <c r="E10" i="8"/>
  <c r="E9" i="8"/>
  <c r="F31" i="7"/>
  <c r="F8" i="8" s="1"/>
  <c r="F10" i="8"/>
  <c r="F9" i="8"/>
  <c r="G31" i="7"/>
  <c r="G8" i="8" s="1"/>
  <c r="G10" i="8"/>
  <c r="G9" i="8"/>
  <c r="H31" i="7"/>
  <c r="H8" i="8" s="1"/>
  <c r="H10" i="8"/>
  <c r="H9" i="8"/>
  <c r="Q20" i="8"/>
  <c r="D10" i="8"/>
  <c r="D9" i="8"/>
  <c r="Q16" i="7"/>
  <c r="Q6" i="8" s="1"/>
  <c r="Q11" i="7"/>
  <c r="Q5" i="8" s="1"/>
  <c r="Q26" i="7"/>
  <c r="Q21" i="7"/>
  <c r="Q7" i="8" s="1"/>
  <c r="Q7" i="7"/>
  <c r="D31" i="7"/>
  <c r="D8" i="8" s="1"/>
  <c r="N30" i="7"/>
  <c r="M30" i="7"/>
  <c r="O30" i="7"/>
  <c r="P30" i="7"/>
  <c r="Q30" i="7"/>
  <c r="Q18" i="8" l="1"/>
  <c r="Q14" i="8"/>
  <c r="N31" i="7"/>
  <c r="N8" i="8" s="1"/>
  <c r="N10" i="8"/>
  <c r="N9" i="8"/>
  <c r="M31" i="7"/>
  <c r="M8" i="8" s="1"/>
  <c r="M10" i="8"/>
  <c r="M9" i="8"/>
  <c r="O31" i="7"/>
  <c r="O8" i="8" s="1"/>
  <c r="O10" i="8"/>
  <c r="O9" i="8"/>
  <c r="P31" i="7"/>
  <c r="P8" i="8" s="1"/>
  <c r="P10" i="8"/>
  <c r="P9" i="8"/>
  <c r="Q31" i="7"/>
  <c r="Q8" i="8" s="1"/>
  <c r="Q10" i="8"/>
  <c r="Q9" i="8"/>
</calcChain>
</file>

<file path=xl/sharedStrings.xml><?xml version="1.0" encoding="utf-8"?>
<sst xmlns="http://schemas.openxmlformats.org/spreadsheetml/2006/main" count="363" uniqueCount="226">
  <si>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</si>
  <si>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</si>
  <si>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</si>
  <si>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</si>
  <si>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</si>
  <si>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</si>
  <si>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</si>
  <si>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</si>
  <si>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</si>
  <si>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</si>
  <si>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</si>
  <si>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</si>
  <si>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</si>
  <si>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</si>
  <si>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</si>
  <si>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</si>
  <si>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</si>
  <si>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</si>
  <si>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</si>
  <si>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</si>
  <si>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</si>
  <si>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</si>
  <si>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</si>
  <si>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</si>
  <si>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</si>
  <si>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</si>
  <si>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</si>
  <si>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</si>
  <si>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</si>
  <si>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</si>
  <si>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</si>
  <si>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</si>
  <si>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</si>
  <si>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</si>
  <si>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</si>
  <si>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</si>
  <si>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</si>
  <si>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</si>
  <si>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</si>
  <si>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</si>
  <si>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</si>
  <si>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</si>
  <si>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</si>
  <si>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</si>
  <si>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</si>
  <si>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</si>
  <si>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</si>
  <si>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</si>
  <si>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</si>
  <si>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</si>
  <si>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</si>
  <si>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</si>
  <si>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</si>
  <si>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</si>
  <si>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</si>
  <si>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</si>
  <si>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</si>
  <si>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</si>
  <si>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</si>
  <si>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</si>
  <si>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</si>
  <si>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</si>
  <si>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</si>
  <si>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</si>
  <si>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</si>
  <si>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</si>
  <si>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</si>
  <si>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</si>
  <si>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</si>
  <si>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</si>
  <si>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</si>
  <si>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</si>
  <si>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</si>
  <si>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</si>
  <si>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</si>
  <si>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</si>
  <si>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</si>
  <si>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</si>
  <si>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</si>
  <si>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</si>
  <si>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</si>
  <si>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</si>
  <si>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</si>
  <si>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</si>
  <si>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</si>
  <si>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</si>
  <si>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</si>
  <si>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</si>
  <si>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</si>
  <si>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</si>
  <si>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</si>
  <si>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</si>
  <si>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</si>
  <si>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</si>
  <si>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#</t>
  </si>
  <si>
    <t xml:space="preserve">Revenue </t>
  </si>
  <si>
    <t>Revenue Growth</t>
  </si>
  <si>
    <t xml:space="preserve">COGS </t>
  </si>
  <si>
    <t>Gross Profit</t>
  </si>
  <si>
    <t>Gross Profit Margin</t>
  </si>
  <si>
    <t>Operational Expenses</t>
  </si>
  <si>
    <t>EBITDA</t>
  </si>
  <si>
    <t>EBITDA Margins</t>
  </si>
  <si>
    <t>Depreciation and Amortization</t>
  </si>
  <si>
    <t xml:space="preserve">EBIT </t>
  </si>
  <si>
    <t>EBIT Margins</t>
  </si>
  <si>
    <t xml:space="preserve">Interest </t>
  </si>
  <si>
    <t>EBT</t>
  </si>
  <si>
    <t xml:space="preserve">Net Profit </t>
  </si>
  <si>
    <t>Net Profit Margins</t>
  </si>
  <si>
    <t>EBT Margins</t>
  </si>
  <si>
    <t>Profitability Ratio</t>
  </si>
  <si>
    <t>EBITDA Margin</t>
  </si>
  <si>
    <t>Net Profit Margin</t>
  </si>
  <si>
    <t>Solvency Ratio</t>
  </si>
  <si>
    <t>Debt/Equity</t>
  </si>
  <si>
    <t>Debt Ratio</t>
  </si>
  <si>
    <t>Interest Coverage</t>
  </si>
  <si>
    <t>Efficiency Ratios</t>
  </si>
  <si>
    <t xml:space="preserve">Asset Turnover </t>
  </si>
  <si>
    <t xml:space="preserve">Inventory Turnover </t>
  </si>
  <si>
    <t>Receivables Turnover</t>
  </si>
  <si>
    <t>Payable Turnover</t>
  </si>
  <si>
    <t>Fixed Asset Turnover</t>
  </si>
  <si>
    <t>Liquidity Ratios</t>
  </si>
  <si>
    <t>Current Ratio</t>
  </si>
  <si>
    <t>Quick Ratio</t>
  </si>
  <si>
    <t>Cash Ratio</t>
  </si>
  <si>
    <t>Market Ratios</t>
  </si>
  <si>
    <t>Earning Per Share</t>
  </si>
  <si>
    <t>P/E Ratio</t>
  </si>
  <si>
    <t>Book Value per Share</t>
  </si>
  <si>
    <t>Return on Assets</t>
  </si>
  <si>
    <t>EBIT Margin</t>
  </si>
  <si>
    <t xml:space="preserve">Equity Share Capital </t>
  </si>
  <si>
    <t xml:space="preserve">Equity 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</si>
  <si>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</si>
  <si>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</si>
  <si>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</si>
  <si>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</si>
  <si>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</si>
  <si>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</si>
  <si>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</si>
  <si>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</si>
  <si>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</si>
  <si>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</si>
  <si>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</si>
  <si>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</si>
  <si>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</si>
  <si>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</si>
  <si>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</si>
  <si>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</si>
  <si>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</si>
  <si>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</si>
  <si>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</si>
  <si>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</si>
  <si>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</si>
  <si>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</si>
  <si>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</si>
  <si>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</si>
  <si>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</si>
  <si>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</si>
  <si>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</si>
  <si>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r>
      <t>Cash from Operating Activity </t>
    </r>
    <r>
      <rPr>
        <sz val="11"/>
        <color rgb="FF665EFD"/>
        <rFont val="Calibri"/>
        <family val="2"/>
        <scheme val="minor"/>
      </rPr>
      <t>-</t>
    </r>
  </si>
  <si>
    <r>
      <t>Cash from Investing Activity </t>
    </r>
    <r>
      <rPr>
        <sz val="11"/>
        <color rgb="FF665EFD"/>
        <rFont val="Calibri"/>
        <family val="2"/>
        <scheme val="minor"/>
      </rPr>
      <t>-</t>
    </r>
  </si>
  <si>
    <r>
      <t>Cash from Financing Activity </t>
    </r>
    <r>
      <rPr>
        <sz val="11"/>
        <color rgb="FF665EFD"/>
        <rFont val="Calibri"/>
        <family val="2"/>
        <scheme val="minor"/>
      </rPr>
      <t>-</t>
    </r>
  </si>
  <si>
    <t>Cash Flow Statement</t>
  </si>
  <si>
    <t>Cash Flow from Operating Activities</t>
  </si>
  <si>
    <t>Profit from Operations</t>
  </si>
  <si>
    <t xml:space="preserve">Inventory </t>
  </si>
  <si>
    <t>Loan Advances</t>
  </si>
  <si>
    <t>Working Capital Changes</t>
  </si>
  <si>
    <t>Direct Taxes</t>
  </si>
  <si>
    <t>Other Operating items</t>
  </si>
  <si>
    <t>Exeptional CF items</t>
  </si>
  <si>
    <t xml:space="preserve">Cash Flow from Operating Activities: </t>
  </si>
  <si>
    <t>Balance Sheet</t>
  </si>
  <si>
    <t>Income Statement</t>
  </si>
  <si>
    <t>Cash Flow from Investing Activities</t>
  </si>
  <si>
    <t>Cash Flow from Investing Activities:</t>
  </si>
  <si>
    <t>Cash Flow from Financing Activity</t>
  </si>
  <si>
    <t>Cash Flow from Financing Activity:</t>
  </si>
  <si>
    <t>Capital work in progress</t>
  </si>
  <si>
    <t>Total Current Assets</t>
  </si>
  <si>
    <t>Total Non Current Assets</t>
  </si>
  <si>
    <t>Total Assets</t>
  </si>
  <si>
    <t>Total Equity + Liabilities</t>
  </si>
  <si>
    <t>Trade Payables</t>
  </si>
  <si>
    <t xml:space="preserve">Trade Payables </t>
  </si>
  <si>
    <t>Operating Cycle Ratios</t>
  </si>
  <si>
    <t>(in days)</t>
  </si>
  <si>
    <t>Inventory Days</t>
  </si>
  <si>
    <t>Receivables Days</t>
  </si>
  <si>
    <t>Payable Days</t>
  </si>
  <si>
    <t>Cash Conversion Cycle</t>
  </si>
  <si>
    <t>EBIT</t>
  </si>
  <si>
    <t>Enterprise Value</t>
  </si>
  <si>
    <t>Share Price</t>
  </si>
  <si>
    <t>Revenue</t>
  </si>
  <si>
    <t>Yoy Growth</t>
  </si>
  <si>
    <t>Name</t>
  </si>
  <si>
    <t>Shares Outstanding</t>
  </si>
  <si>
    <t>Market Cap</t>
  </si>
  <si>
    <t>Net Debt</t>
  </si>
  <si>
    <t>Net Income</t>
  </si>
  <si>
    <t>EV/Revenue</t>
  </si>
  <si>
    <t>EV/EBITDA</t>
  </si>
  <si>
    <t>P/E</t>
  </si>
  <si>
    <t>Market Data</t>
  </si>
  <si>
    <t>Financials</t>
  </si>
  <si>
    <t>Valuation</t>
  </si>
  <si>
    <t>Hindustan Unilever</t>
  </si>
  <si>
    <t>ITC</t>
  </si>
  <si>
    <t>Hindustan Foods</t>
  </si>
  <si>
    <t>Godavari Bioref.</t>
  </si>
  <si>
    <t>High</t>
  </si>
  <si>
    <t>Third Quartile</t>
  </si>
  <si>
    <t>Median</t>
  </si>
  <si>
    <t>Average</t>
  </si>
  <si>
    <t>First Quartile</t>
  </si>
  <si>
    <t>Low</t>
  </si>
  <si>
    <t>Implied Enterprise Value</t>
  </si>
  <si>
    <t>Implied Market Value</t>
  </si>
  <si>
    <t>Implied Value per share</t>
  </si>
  <si>
    <t>Common Size Statement of Income for Hindustan Unilever</t>
  </si>
  <si>
    <t>Common Size Balance Sheet for Hindustan 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</si>
</sst>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409]mmm/yy;@"/>
    <numFmt numFmtId="167" formatCode="#,##0.0;\(#,##0.0\)"/>
    <numFmt numFmtId="168" formatCode="&quot;₹&quot;\ #,##0.0;&quot;₹&quot;\ \(#,##0.0\)"/>
    <numFmt numFmtId="169" formatCode="mmm/yy\ &quot;F&quot;"/>
    <numFmt numFmtId="171" formatCode="0.0"/>
    <numFmt numFmtId="172" formatCode="&quot;₹&quot;\ #,##0.00"/>
    <numFmt numFmtId="173" formatCode="0.00\ &quot;x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rgb="FF606F7B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665EFD"/>
      <name val="Calibri"/>
      <family val="2"/>
      <scheme val="minor"/>
    </font>
    <font>
      <sz val="11"/>
      <color rgb="FF606F7B"/>
      <name val="Calibri"/>
      <family val="2"/>
      <scheme val="minor"/>
    </font>
    <font>
      <sz val="11"/>
      <color rgb="FF22222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8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67" fontId="0" fillId="0" borderId="0" xfId="0" applyNumberFormat="1" applyAlignment="1">
      <alignment horizontal="right"/>
    </xf>
    <xf numFmtId="0" fontId="2" fillId="6" borderId="0" xfId="0" applyFont="1" applyFill="1" applyAlignment="1">
      <alignment horizontal="left"/>
    </xf>
    <xf numFmtId="166" fontId="2" fillId="6" borderId="0" xfId="0" applyNumberFormat="1" applyFont="1" applyFill="1" applyAlignment="1">
      <alignment horizontal="right"/>
    </xf>
    <xf numFmtId="167" fontId="0" fillId="7" borderId="0" xfId="0" applyNumberFormat="1" applyFill="1" applyAlignment="1">
      <alignment horizontal="right"/>
    </xf>
    <xf numFmtId="168" fontId="0" fillId="0" borderId="0" xfId="0" applyNumberFormat="1" applyAlignment="1">
      <alignment horizontal="right"/>
    </xf>
    <xf numFmtId="0" fontId="10" fillId="8" borderId="0" xfId="0" applyFont="1" applyFill="1" applyAlignment="1">
      <alignment horizontal="left"/>
    </xf>
    <xf numFmtId="167" fontId="10" fillId="8" borderId="0" xfId="0" applyNumberFormat="1" applyFont="1" applyFill="1" applyAlignment="1">
      <alignment horizontal="right"/>
    </xf>
    <xf numFmtId="10" fontId="10" fillId="8" borderId="0" xfId="0" applyNumberFormat="1" applyFont="1" applyFill="1" applyAlignment="1">
      <alignment horizontal="righ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right"/>
    </xf>
    <xf numFmtId="168" fontId="1" fillId="0" borderId="1" xfId="0" applyNumberFormat="1" applyFont="1" applyBorder="1" applyAlignment="1">
      <alignment horizontal="right"/>
    </xf>
    <xf numFmtId="169" fontId="2" fillId="6" borderId="0" xfId="0" applyNumberFormat="1" applyFont="1" applyFill="1" applyAlignment="1">
      <alignment horizontal="right"/>
    </xf>
    <xf numFmtId="10" fontId="10" fillId="8" borderId="0" xfId="6" applyNumberFormat="1" applyFont="1" applyFill="1" applyAlignment="1">
      <alignment horizontal="right"/>
    </xf>
    <xf numFmtId="168" fontId="0" fillId="8" borderId="0" xfId="0" applyNumberFormat="1" applyFill="1" applyAlignment="1">
      <alignment horizontal="right"/>
    </xf>
    <xf numFmtId="0" fontId="0" fillId="8" borderId="0" xfId="0" applyFill="1"/>
    <xf numFmtId="168" fontId="1" fillId="8" borderId="1" xfId="0" applyNumberFormat="1" applyFont="1" applyFill="1" applyBorder="1" applyAlignment="1">
      <alignment horizontal="right"/>
    </xf>
    <xf numFmtId="167" fontId="0" fillId="8" borderId="0" xfId="0" applyNumberFormat="1" applyFill="1" applyAlignment="1">
      <alignment horizontal="right"/>
    </xf>
    <xf numFmtId="0" fontId="1" fillId="7" borderId="0" xfId="0" applyFont="1" applyFill="1" applyAlignment="1">
      <alignment horizontal="left"/>
    </xf>
    <xf numFmtId="0" fontId="0" fillId="10" borderId="0" xfId="0" applyFill="1"/>
    <xf numFmtId="0" fontId="0" fillId="9" borderId="0" xfId="0" applyFill="1"/>
    <xf numFmtId="17" fontId="11" fillId="9" borderId="0" xfId="0" applyNumberFormat="1" applyFont="1" applyFill="1" applyAlignment="1">
      <alignment horizontal="right" vertical="center" wrapText="1"/>
    </xf>
    <xf numFmtId="0" fontId="12" fillId="9" borderId="2" xfId="0" applyFont="1" applyFill="1" applyBorder="1" applyAlignment="1">
      <alignment vertical="center"/>
    </xf>
    <xf numFmtId="0" fontId="13" fillId="9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168" fontId="12" fillId="9" borderId="2" xfId="0" applyNumberFormat="1" applyFont="1" applyFill="1" applyBorder="1" applyAlignment="1">
      <alignment horizontal="right" vertical="center" wrapText="1"/>
    </xf>
    <xf numFmtId="168" fontId="13" fillId="9" borderId="0" xfId="0" applyNumberFormat="1" applyFont="1" applyFill="1" applyAlignment="1">
      <alignment horizontal="right" vertical="center" wrapText="1"/>
    </xf>
    <xf numFmtId="168" fontId="15" fillId="9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168" fontId="1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8" fontId="1" fillId="8" borderId="3" xfId="0" applyNumberFormat="1" applyFont="1" applyFill="1" applyBorder="1" applyAlignment="1">
      <alignment horizontal="right"/>
    </xf>
    <xf numFmtId="168" fontId="1" fillId="0" borderId="4" xfId="0" applyNumberFormat="1" applyFont="1" applyBorder="1" applyAlignment="1">
      <alignment horizontal="right"/>
    </xf>
    <xf numFmtId="168" fontId="1" fillId="8" borderId="4" xfId="0" applyNumberFormat="1" applyFont="1" applyFill="1" applyBorder="1" applyAlignment="1">
      <alignment horizontal="right"/>
    </xf>
    <xf numFmtId="10" fontId="0" fillId="0" borderId="0" xfId="6" applyNumberFormat="1" applyFont="1"/>
    <xf numFmtId="2" fontId="0" fillId="0" borderId="0" xfId="6" applyNumberFormat="1" applyFont="1"/>
    <xf numFmtId="3" fontId="0" fillId="0" borderId="0" xfId="0" applyNumberFormat="1"/>
    <xf numFmtId="0" fontId="16" fillId="10" borderId="0" xfId="0" applyFont="1" applyFill="1" applyAlignment="1">
      <alignment horizontal="left" vertical="center"/>
    </xf>
    <xf numFmtId="3" fontId="16" fillId="10" borderId="0" xfId="0" applyNumberFormat="1" applyFont="1" applyFill="1" applyAlignment="1">
      <alignment horizontal="right" vertical="center" wrapText="1"/>
    </xf>
    <xf numFmtId="171" fontId="0" fillId="0" borderId="0" xfId="0" applyNumberFormat="1"/>
    <xf numFmtId="17" fontId="0" fillId="0" borderId="0" xfId="0" applyNumberFormat="1"/>
    <xf numFmtId="172" fontId="0" fillId="0" borderId="0" xfId="0" applyNumberFormat="1"/>
    <xf numFmtId="9" fontId="0" fillId="0" borderId="0" xfId="0" applyNumberFormat="1"/>
    <xf numFmtId="173" fontId="0" fillId="0" borderId="0" xfId="0" applyNumberFormat="1"/>
    <xf numFmtId="173" fontId="1" fillId="0" borderId="0" xfId="0" applyNumberFormat="1" applyFont="1"/>
    <xf numFmtId="9" fontId="1" fillId="0" borderId="0" xfId="6" applyFont="1"/>
    <xf numFmtId="10" fontId="0" fillId="0" borderId="0" xfId="6" applyNumberFormat="1" applyFont="1" applyAlignment="1">
      <alignment horizontal="right"/>
    </xf>
    <xf numFmtId="10" fontId="1" fillId="0" borderId="3" xfId="6" applyNumberFormat="1" applyFont="1" applyBorder="1" applyAlignment="1">
      <alignment horizontal="right"/>
    </xf>
    <xf numFmtId="10" fontId="1" fillId="0" borderId="4" xfId="6" applyNumberFormat="1" applyFont="1" applyBorder="1" applyAlignment="1">
      <alignment horizontal="right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5" fontId="2" fillId="5" borderId="0" xfId="1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HUL</a:t>
            </a:r>
            <a:r>
              <a:rPr lang="en-IN" baseline="0"/>
              <a:t> YoY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Analysis'!$B$3:$B$17</c:f>
              <c:numCache>
                <c:formatCode>mmm\-yy</c:formatCode>
                <c:ptCount val="15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  <c:pt idx="7">
                  <c:v>45352</c:v>
                </c:pt>
                <c:pt idx="8">
                  <c:v>45717</c:v>
                </c:pt>
                <c:pt idx="9">
                  <c:v>46082</c:v>
                </c:pt>
                <c:pt idx="10">
                  <c:v>46447</c:v>
                </c:pt>
                <c:pt idx="11">
                  <c:v>46813</c:v>
                </c:pt>
                <c:pt idx="12">
                  <c:v>47178</c:v>
                </c:pt>
                <c:pt idx="13">
                  <c:v>47543</c:v>
                </c:pt>
                <c:pt idx="14">
                  <c:v>47908</c:v>
                </c:pt>
              </c:numCache>
            </c:numRef>
          </c:cat>
          <c:val>
            <c:numRef>
              <c:f>'Trend Analysis'!$D$3:$D$17</c:f>
              <c:numCache>
                <c:formatCode>0.00%</c:formatCode>
                <c:ptCount val="15"/>
                <c:pt idx="0" formatCode="0%">
                  <c:v>0</c:v>
                </c:pt>
                <c:pt idx="1">
                  <c:v>7.1859357095470713E-2</c:v>
                </c:pt>
                <c:pt idx="2">
                  <c:v>0.10592207061471375</c:v>
                </c:pt>
                <c:pt idx="3">
                  <c:v>1.2032561689137624E-2</c:v>
                </c:pt>
                <c:pt idx="4">
                  <c:v>0.18211296282331649</c:v>
                </c:pt>
                <c:pt idx="5">
                  <c:v>0.11520796121459556</c:v>
                </c:pt>
                <c:pt idx="6">
                  <c:v>0.15509285741524617</c:v>
                </c:pt>
                <c:pt idx="7">
                  <c:v>2.1723341036645756E-2</c:v>
                </c:pt>
                <c:pt idx="8">
                  <c:v>-9.1766834690448496E-3</c:v>
                </c:pt>
                <c:pt idx="9">
                  <c:v>5.1200104356900603E-2</c:v>
                </c:pt>
                <c:pt idx="10">
                  <c:v>0.10104864548812241</c:v>
                </c:pt>
                <c:pt idx="11">
                  <c:v>5.4708714493645109E-2</c:v>
                </c:pt>
                <c:pt idx="12">
                  <c:v>5.1870922977924012E-2</c:v>
                </c:pt>
                <c:pt idx="13">
                  <c:v>4.9313011553807011E-2</c:v>
                </c:pt>
                <c:pt idx="14">
                  <c:v>4.6995520889219738E-2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F1C-91DB-6661E303E3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5336383"/>
        <c:axId val="7435876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'Trend Analysis'!$B$3:$B$17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  <c:pt idx="7">
                        <c:v>45352</c:v>
                      </c:pt>
                      <c:pt idx="8">
                        <c:v>45717</c:v>
                      </c:pt>
                      <c:pt idx="9">
                        <c:v>46082</c:v>
                      </c:pt>
                      <c:pt idx="10">
                        <c:v>46447</c:v>
                      </c:pt>
                      <c:pt idx="11">
                        <c:v>46813</c:v>
                      </c:pt>
                      <c:pt idx="12">
                        <c:v>47178</c:v>
                      </c:pt>
                      <c:pt idx="13">
                        <c:v>47543</c:v>
                      </c:pt>
                      <c:pt idx="14">
                        <c:v>47908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'Trend Analysis'!$C$3:$C$17</c15:sqref>
                        </c15:formulaRef>
                      </c:ext>
                    </c:extLst>
                    <c:numCache>
                      <c:formatCode>"₹"\ #,##0.00</c:formatCode>
                      <c:ptCount val="15"/>
                      <c:pt idx="0">
                        <c:v>33162</c:v>
                      </c:pt>
                      <c:pt idx="1">
                        <c:v>35545</c:v>
                      </c:pt>
                      <c:pt idx="2">
                        <c:v>39310</c:v>
                      </c:pt>
                      <c:pt idx="3">
                        <c:v>39783</c:v>
                      </c:pt>
                      <c:pt idx="4">
                        <c:v>47028</c:v>
                      </c:pt>
                      <c:pt idx="5">
                        <c:v>52446</c:v>
                      </c:pt>
                      <c:pt idx="6">
                        <c:v>60580</c:v>
                      </c:pt>
                      <c:pt idx="7">
                        <c:v>61896</c:v>
                      </c:pt>
                      <c:pt idx="8">
                        <c:v>61328</c:v>
                      </c:pt>
                      <c:pt idx="9">
                        <c:v>64468</c:v>
                      </c:pt>
                      <c:pt idx="10">
                        <c:v>70982.404077328276</c:v>
                      </c:pt>
                      <c:pt idx="11">
                        <c:v>74865.760156067379</c:v>
                      </c:pt>
                      <c:pt idx="12">
                        <c:v>78749.116234806483</c:v>
                      </c:pt>
                      <c:pt idx="13">
                        <c:v>82632.472313545586</c:v>
                      </c:pt>
                      <c:pt idx="14">
                        <c:v>86515.828392284689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E0-4F1C-91DB-6661E303E321}"/>
                  </c:ext>
                </c:extLst>
              </c15:ser>
            </c15:filteredLineSeries>
          </c:ext>
        </c:extLst>
      </c:lineChart>
      <c:catAx>
        <c:axId val="765336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7663"/>
        <c:crosses val="autoZero"/>
        <c:auto val="0"/>
        <c:lblAlgn val="ctr"/>
        <c:lblOffset val="100"/>
        <c:noMultiLvlLbl val="0"/>
      </c:catAx>
      <c:valAx>
        <c:axId val="743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3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1</xdr:row>
      <xdr:rowOff>120650</xdr:rowOff>
    </xdr:from>
    <xdr:to>
      <xdr:col>12</xdr:col>
      <xdr:colOff>339725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DABDFF-6545-E8EF-237E-6EC5C1ADA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6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F8" sqref="F8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HINDUSTAN UNILEVER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33162</v>
      </c>
      <c r="C4" s="1">
        <f>'Data Sheet'!C17</f>
        <v>35545</v>
      </c>
      <c r="D4" s="1">
        <f>'Data Sheet'!D17</f>
        <v>39310</v>
      </c>
      <c r="E4" s="1">
        <f>'Data Sheet'!E17</f>
        <v>39783</v>
      </c>
      <c r="F4" s="1">
        <f>'Data Sheet'!F17</f>
        <v>47028</v>
      </c>
      <c r="G4" s="1">
        <f>'Data Sheet'!G17</f>
        <v>52446</v>
      </c>
      <c r="H4" s="1">
        <f>'Data Sheet'!H17</f>
        <v>60580</v>
      </c>
      <c r="I4" s="1">
        <f>'Data Sheet'!I17</f>
        <v>61896</v>
      </c>
      <c r="J4" s="1">
        <f>'Data Sheet'!J17</f>
        <v>61328</v>
      </c>
      <c r="K4" s="1">
        <f>'Data Sheet'!K17</f>
        <v>64468</v>
      </c>
      <c r="L4" s="1">
        <f>SUM(Quarters!H4:K4)</f>
        <v>65225</v>
      </c>
      <c r="M4" s="1">
        <f>$K4+M23*K4</f>
        <v>67768.768327680664</v>
      </c>
      <c r="N4" s="1">
        <f>$K4+N23*L4</f>
        <v>65834.540816360255</v>
      </c>
    </row>
    <row r="5" spans="1:14" x14ac:dyDescent="0.35">
      <c r="A5" t="s">
        <v>7</v>
      </c>
      <c r="B5" s="6">
        <f>SUM('Data Sheet'!B18,'Data Sheet'!B20:B24, -1*'Data Sheet'!B19)</f>
        <v>26834</v>
      </c>
      <c r="C5" s="6">
        <f>SUM('Data Sheet'!C18,'Data Sheet'!C20:C24, -1*'Data Sheet'!C19)</f>
        <v>28046</v>
      </c>
      <c r="D5" s="6">
        <f>SUM('Data Sheet'!D18,'Data Sheet'!D20:D24, -1*'Data Sheet'!D19)</f>
        <v>30430</v>
      </c>
      <c r="E5" s="6">
        <f>SUM('Data Sheet'!E18,'Data Sheet'!E20:E24, -1*'Data Sheet'!E19)</f>
        <v>29922</v>
      </c>
      <c r="F5" s="6">
        <f>SUM('Data Sheet'!F18,'Data Sheet'!F20:F24, -1*'Data Sheet'!F19)</f>
        <v>35402</v>
      </c>
      <c r="G5" s="6">
        <f>SUM('Data Sheet'!G18,'Data Sheet'!G20:G24, -1*'Data Sheet'!G19)</f>
        <v>39589</v>
      </c>
      <c r="H5" s="6">
        <f>SUM('Data Sheet'!H18,'Data Sheet'!H20:H24, -1*'Data Sheet'!H19)</f>
        <v>46433</v>
      </c>
      <c r="I5" s="6">
        <f>SUM('Data Sheet'!I18,'Data Sheet'!I20:I24, -1*'Data Sheet'!I19)</f>
        <v>47237</v>
      </c>
      <c r="J5" s="6">
        <f>SUM('Data Sheet'!J18,'Data Sheet'!J20:J24, -1*'Data Sheet'!J19)</f>
        <v>46630</v>
      </c>
      <c r="K5" s="6">
        <f>SUM('Data Sheet'!K18,'Data Sheet'!K20:K24, -1*'Data Sheet'!K19)</f>
        <v>49429</v>
      </c>
      <c r="L5" s="6">
        <f>SUM(Quarters!H5:K5)</f>
        <v>50108</v>
      </c>
      <c r="M5" s="6">
        <f>M4-M6</f>
        <v>51738.984220336126</v>
      </c>
      <c r="N5" s="6">
        <f>N4-N6</f>
        <v>50576.269394038784</v>
      </c>
    </row>
    <row r="6" spans="1:14" s="2" customFormat="1" x14ac:dyDescent="0.35">
      <c r="A6" s="2" t="s">
        <v>8</v>
      </c>
      <c r="B6" s="1">
        <f>B4-B5</f>
        <v>6328</v>
      </c>
      <c r="C6" s="1">
        <f t="shared" ref="C6:K6" si="0">C4-C5</f>
        <v>7499</v>
      </c>
      <c r="D6" s="1">
        <f t="shared" si="0"/>
        <v>8880</v>
      </c>
      <c r="E6" s="1">
        <f t="shared" si="0"/>
        <v>9861</v>
      </c>
      <c r="F6" s="1">
        <f t="shared" si="0"/>
        <v>11626</v>
      </c>
      <c r="G6" s="1">
        <f t="shared" si="0"/>
        <v>12857</v>
      </c>
      <c r="H6" s="1">
        <f t="shared" si="0"/>
        <v>14147</v>
      </c>
      <c r="I6" s="1">
        <f t="shared" si="0"/>
        <v>14659</v>
      </c>
      <c r="J6" s="1">
        <f t="shared" si="0"/>
        <v>14698</v>
      </c>
      <c r="K6" s="1">
        <f t="shared" si="0"/>
        <v>15039</v>
      </c>
      <c r="L6" s="1">
        <f>SUM(Quarters!H6:K6)</f>
        <v>15117</v>
      </c>
      <c r="M6" s="1">
        <f>M4*M24</f>
        <v>16029.784107344536</v>
      </c>
      <c r="N6" s="1">
        <f>N4*N24</f>
        <v>15258.271422321472</v>
      </c>
    </row>
    <row r="7" spans="1:14" x14ac:dyDescent="0.35">
      <c r="A7" t="s">
        <v>9</v>
      </c>
      <c r="B7" s="6">
        <f>'Data Sheet'!B25</f>
        <v>606</v>
      </c>
      <c r="C7" s="6">
        <f>'Data Sheet'!C25</f>
        <v>353</v>
      </c>
      <c r="D7" s="6">
        <f>'Data Sheet'!D25</f>
        <v>322</v>
      </c>
      <c r="E7" s="6">
        <f>'Data Sheet'!E25</f>
        <v>424</v>
      </c>
      <c r="F7" s="6">
        <f>'Data Sheet'!F25</f>
        <v>170</v>
      </c>
      <c r="G7" s="6">
        <f>'Data Sheet'!G25</f>
        <v>219</v>
      </c>
      <c r="H7" s="6">
        <f>'Data Sheet'!H25</f>
        <v>448</v>
      </c>
      <c r="I7" s="6">
        <f>'Data Sheet'!I25</f>
        <v>817</v>
      </c>
      <c r="J7" s="6">
        <f>'Data Sheet'!J25</f>
        <v>1355</v>
      </c>
      <c r="K7" s="6">
        <f>'Data Sheet'!K25</f>
        <v>4923</v>
      </c>
      <c r="L7" s="6">
        <f>SUM(Quarters!H7:K7)</f>
        <v>4894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432</v>
      </c>
      <c r="C8" s="6">
        <f>'Data Sheet'!C26</f>
        <v>520</v>
      </c>
      <c r="D8" s="6">
        <f>'Data Sheet'!D26</f>
        <v>565</v>
      </c>
      <c r="E8" s="6">
        <f>'Data Sheet'!E26</f>
        <v>1002</v>
      </c>
      <c r="F8" s="6">
        <f>'Data Sheet'!F26</f>
        <v>1074</v>
      </c>
      <c r="G8" s="6">
        <f>'Data Sheet'!G26</f>
        <v>1091</v>
      </c>
      <c r="H8" s="6">
        <f>'Data Sheet'!H26</f>
        <v>1137</v>
      </c>
      <c r="I8" s="6">
        <f>'Data Sheet'!I26</f>
        <v>1216</v>
      </c>
      <c r="J8" s="6">
        <f>'Data Sheet'!J26</f>
        <v>1253</v>
      </c>
      <c r="K8" s="6">
        <f>'Data Sheet'!K26</f>
        <v>1333</v>
      </c>
      <c r="L8" s="6">
        <f>SUM(Quarters!H8:K8)</f>
        <v>1368</v>
      </c>
      <c r="M8" s="6">
        <f>+$L8</f>
        <v>1368</v>
      </c>
      <c r="N8" s="6">
        <f>+$L8</f>
        <v>1368</v>
      </c>
    </row>
    <row r="9" spans="1:14" x14ac:dyDescent="0.35">
      <c r="A9" t="s">
        <v>11</v>
      </c>
      <c r="B9" s="6">
        <f>'Data Sheet'!B27</f>
        <v>35</v>
      </c>
      <c r="C9" s="6">
        <f>'Data Sheet'!C27</f>
        <v>26</v>
      </c>
      <c r="D9" s="6">
        <f>'Data Sheet'!D27</f>
        <v>33</v>
      </c>
      <c r="E9" s="6">
        <f>'Data Sheet'!E27</f>
        <v>118</v>
      </c>
      <c r="F9" s="6">
        <f>'Data Sheet'!F27</f>
        <v>117</v>
      </c>
      <c r="G9" s="6">
        <f>'Data Sheet'!G27</f>
        <v>106</v>
      </c>
      <c r="H9" s="6">
        <f>'Data Sheet'!H27</f>
        <v>114</v>
      </c>
      <c r="I9" s="6">
        <f>'Data Sheet'!I27</f>
        <v>334</v>
      </c>
      <c r="J9" s="6">
        <f>'Data Sheet'!J27</f>
        <v>381</v>
      </c>
      <c r="K9" s="6">
        <f>'Data Sheet'!K27</f>
        <v>410</v>
      </c>
      <c r="L9" s="6">
        <f>SUM(Quarters!H9:K9)</f>
        <v>415</v>
      </c>
      <c r="M9" s="6">
        <f>+$L9</f>
        <v>415</v>
      </c>
      <c r="N9" s="6">
        <f>+$L9</f>
        <v>415</v>
      </c>
    </row>
    <row r="10" spans="1:14" x14ac:dyDescent="0.35">
      <c r="A10" t="s">
        <v>12</v>
      </c>
      <c r="B10" s="6">
        <f>'Data Sheet'!B28</f>
        <v>6467</v>
      </c>
      <c r="C10" s="6">
        <f>'Data Sheet'!C28</f>
        <v>7306</v>
      </c>
      <c r="D10" s="6">
        <f>'Data Sheet'!D28</f>
        <v>8604</v>
      </c>
      <c r="E10" s="6">
        <f>'Data Sheet'!E28</f>
        <v>9165</v>
      </c>
      <c r="F10" s="6">
        <f>'Data Sheet'!F28</f>
        <v>10605</v>
      </c>
      <c r="G10" s="6">
        <f>'Data Sheet'!G28</f>
        <v>11879</v>
      </c>
      <c r="H10" s="6">
        <f>'Data Sheet'!H28</f>
        <v>13344</v>
      </c>
      <c r="I10" s="6">
        <f>'Data Sheet'!I28</f>
        <v>13926</v>
      </c>
      <c r="J10" s="6">
        <f>'Data Sheet'!J28</f>
        <v>14419</v>
      </c>
      <c r="K10" s="6">
        <f>'Data Sheet'!K28</f>
        <v>18219</v>
      </c>
      <c r="L10" s="6">
        <f>SUM(Quarters!H10:K10)</f>
        <v>18228</v>
      </c>
      <c r="M10" s="6">
        <f>M6+M7-SUM(M8:M9)</f>
        <v>14246.784107344536</v>
      </c>
      <c r="N10" s="6">
        <f>N6+N7-SUM(N8:N9)</f>
        <v>13475.271422321472</v>
      </c>
    </row>
    <row r="11" spans="1:14" x14ac:dyDescent="0.35">
      <c r="A11" t="s">
        <v>13</v>
      </c>
      <c r="B11" s="6">
        <f>'Data Sheet'!B29</f>
        <v>1977</v>
      </c>
      <c r="C11" s="6">
        <f>'Data Sheet'!C29</f>
        <v>2079</v>
      </c>
      <c r="D11" s="6">
        <f>'Data Sheet'!D29</f>
        <v>2544</v>
      </c>
      <c r="E11" s="6">
        <f>'Data Sheet'!E29</f>
        <v>2409</v>
      </c>
      <c r="F11" s="6">
        <f>'Data Sheet'!F29</f>
        <v>2606</v>
      </c>
      <c r="G11" s="6">
        <f>'Data Sheet'!G29</f>
        <v>2987</v>
      </c>
      <c r="H11" s="6">
        <f>'Data Sheet'!H29</f>
        <v>3201</v>
      </c>
      <c r="I11" s="6">
        <f>'Data Sheet'!I29</f>
        <v>3644</v>
      </c>
      <c r="J11" s="6">
        <f>'Data Sheet'!J29</f>
        <v>3748</v>
      </c>
      <c r="K11" s="6">
        <f>'Data Sheet'!K29</f>
        <v>3160</v>
      </c>
      <c r="L11" s="6">
        <f>SUM(Quarters!H11:K11)</f>
        <v>3169</v>
      </c>
      <c r="M11" s="7">
        <f>IF($L10&gt;0,$L11/$L10,0)</f>
        <v>0.17385341233267501</v>
      </c>
      <c r="N11" s="7">
        <f>IF($L10&gt;0,$L11/$L10,0)</f>
        <v>0.17385341233267501</v>
      </c>
    </row>
    <row r="12" spans="1:14" s="2" customFormat="1" x14ac:dyDescent="0.35">
      <c r="A12" s="2" t="s">
        <v>14</v>
      </c>
      <c r="B12" s="1">
        <f>'Data Sheet'!B30</f>
        <v>4476</v>
      </c>
      <c r="C12" s="1">
        <f>'Data Sheet'!C30</f>
        <v>5214</v>
      </c>
      <c r="D12" s="1">
        <f>'Data Sheet'!D30</f>
        <v>6054</v>
      </c>
      <c r="E12" s="1">
        <f>'Data Sheet'!E30</f>
        <v>6748</v>
      </c>
      <c r="F12" s="1">
        <f>'Data Sheet'!F30</f>
        <v>7995</v>
      </c>
      <c r="G12" s="1">
        <f>'Data Sheet'!G30</f>
        <v>8879</v>
      </c>
      <c r="H12" s="1">
        <f>'Data Sheet'!H30</f>
        <v>10120</v>
      </c>
      <c r="I12" s="1">
        <f>'Data Sheet'!I30</f>
        <v>10277</v>
      </c>
      <c r="J12" s="1">
        <f>'Data Sheet'!J30</f>
        <v>10649</v>
      </c>
      <c r="K12" s="1">
        <f>'Data Sheet'!K30</f>
        <v>15040</v>
      </c>
      <c r="L12" s="1">
        <f>SUM(Quarters!H12:K12)</f>
        <v>15040</v>
      </c>
      <c r="M12" s="1">
        <f>M10-M11*M10</f>
        <v>11769.932075515764</v>
      </c>
      <c r="N12" s="1">
        <f>N10-N11*N10</f>
        <v>11132.549503441904</v>
      </c>
    </row>
    <row r="13" spans="1:14" x14ac:dyDescent="0.35">
      <c r="A13" t="s">
        <v>57</v>
      </c>
      <c r="B13" s="6">
        <f>IF('Data Sheet'!B94&gt;0,B12/'Data Sheet'!B94,0)</f>
        <v>20.681051610220393</v>
      </c>
      <c r="C13" s="6">
        <f>IF('Data Sheet'!C94&gt;0,C12/'Data Sheet'!C94,0)</f>
        <v>24.088704088704091</v>
      </c>
      <c r="D13" s="6">
        <f>IF('Data Sheet'!D94&gt;0,D12/'Data Sheet'!D94,0)</f>
        <v>27.966923823162563</v>
      </c>
      <c r="E13" s="6">
        <f>IF('Data Sheet'!E94&gt;0,E12/'Data Sheet'!E94,0)</f>
        <v>31.171470805617147</v>
      </c>
      <c r="F13" s="6">
        <f>IF('Data Sheet'!F94&gt;0,F12/'Data Sheet'!F94,0)</f>
        <v>34.027068437180795</v>
      </c>
      <c r="G13" s="6">
        <f>IF('Data Sheet'!G94&gt;0,G12/'Data Sheet'!G94,0)</f>
        <v>37.789410963568265</v>
      </c>
      <c r="H13" s="6">
        <f>IF('Data Sheet'!H94&gt;0,H12/'Data Sheet'!H94,0)</f>
        <v>43.071161048689135</v>
      </c>
      <c r="I13" s="6">
        <f>IF('Data Sheet'!I94&gt;0,I12/'Data Sheet'!I94,0)</f>
        <v>43.739359891045282</v>
      </c>
      <c r="J13" s="6">
        <f>IF('Data Sheet'!J94&gt;0,J12/'Data Sheet'!J94,0)</f>
        <v>45.32260810350698</v>
      </c>
      <c r="K13" s="6">
        <f>IF('Data Sheet'!K94&gt;0,K12/'Data Sheet'!K94,0)</f>
        <v>64.010895471569626</v>
      </c>
      <c r="L13" s="6">
        <f>IF('Data Sheet'!$B6&gt;0,'Profit &amp; Loss'!L12/'Data Sheet'!$B6,0)</f>
        <v>64.011134730196844</v>
      </c>
      <c r="M13" s="6">
        <f>IF('Data Sheet'!$B6&gt;0,'Profit &amp; Loss'!M12/'Data Sheet'!$B6,0)</f>
        <v>50.093531107121343</v>
      </c>
      <c r="N13" s="6">
        <f>IF('Data Sheet'!$B6&gt;0,'Profit &amp; Loss'!N12/'Data Sheet'!$B6,0)</f>
        <v>47.380792962460482</v>
      </c>
    </row>
    <row r="14" spans="1:14" x14ac:dyDescent="0.35">
      <c r="A14" t="s">
        <v>16</v>
      </c>
      <c r="B14" s="6">
        <f>IF(B15&gt;0,B15/B13,"")</f>
        <v>42.193695777479896</v>
      </c>
      <c r="C14" s="6">
        <f t="shared" ref="C14:K14" si="1">IF(C15&gt;0,C15/C13,"")</f>
        <v>52.975452531645558</v>
      </c>
      <c r="D14" s="6">
        <f t="shared" si="1"/>
        <v>58.409355649157582</v>
      </c>
      <c r="E14" s="6">
        <f t="shared" si="1"/>
        <v>70.571902548903381</v>
      </c>
      <c r="F14" s="6">
        <f t="shared" si="1"/>
        <v>68.390258311444654</v>
      </c>
      <c r="G14" s="6">
        <f t="shared" si="1"/>
        <v>51.88490505687578</v>
      </c>
      <c r="H14" s="6">
        <f t="shared" si="1"/>
        <v>56.892824347826092</v>
      </c>
      <c r="I14" s="6">
        <f t="shared" si="1"/>
        <v>49.546678447017612</v>
      </c>
      <c r="J14" s="6">
        <f t="shared" si="1"/>
        <v>47.699814517795097</v>
      </c>
      <c r="K14" s="6">
        <f t="shared" si="1"/>
        <v>32.107034042553188</v>
      </c>
      <c r="L14" s="6">
        <f>IF(L13&gt;0,L15/L13,0)</f>
        <v>34.509621010638298</v>
      </c>
      <c r="M14" s="6">
        <f>M25</f>
        <v>40.965787004501053</v>
      </c>
      <c r="N14" s="6">
        <f>N25</f>
        <v>34.509621010638298</v>
      </c>
    </row>
    <row r="15" spans="1:14" s="2" customFormat="1" x14ac:dyDescent="0.35">
      <c r="A15" s="2" t="s">
        <v>58</v>
      </c>
      <c r="B15" s="1">
        <f>'Data Sheet'!B91</f>
        <v>872.61</v>
      </c>
      <c r="C15" s="1">
        <f>'Data Sheet'!C91</f>
        <v>1276.1099999999999</v>
      </c>
      <c r="D15" s="1">
        <f>'Data Sheet'!D91</f>
        <v>1633.53</v>
      </c>
      <c r="E15" s="1">
        <f>'Data Sheet'!E91</f>
        <v>2199.83</v>
      </c>
      <c r="F15" s="1">
        <f>'Data Sheet'!F91</f>
        <v>2327.12</v>
      </c>
      <c r="G15" s="1">
        <f>'Data Sheet'!G91</f>
        <v>1960.7</v>
      </c>
      <c r="H15" s="1">
        <f>'Data Sheet'!H91</f>
        <v>2450.44</v>
      </c>
      <c r="I15" s="1">
        <f>'Data Sheet'!I91</f>
        <v>2167.14</v>
      </c>
      <c r="J15" s="1">
        <f>'Data Sheet'!J91</f>
        <v>2161.88</v>
      </c>
      <c r="K15" s="1">
        <f>'Data Sheet'!K91</f>
        <v>2055.1999999999998</v>
      </c>
      <c r="L15" s="1">
        <f>'Data Sheet'!B8</f>
        <v>2209</v>
      </c>
      <c r="M15" s="8">
        <f>M13*M14</f>
        <v>2052.1209256376806</v>
      </c>
      <c r="N15" s="9">
        <f>N13*N14</f>
        <v>1635.0932083180294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0.82037533512064342</v>
      </c>
      <c r="C18" s="5">
        <f>IF('Data Sheet'!C30&gt;0, 'Data Sheet'!C31/'Data Sheet'!C30, 0)</f>
        <v>0.8285385500575374</v>
      </c>
      <c r="D18" s="5">
        <f>IF('Data Sheet'!D30&gt;0, 'Data Sheet'!D31/'Data Sheet'!D30, 0)</f>
        <v>0.78493557978196238</v>
      </c>
      <c r="E18" s="5">
        <f>IF('Data Sheet'!E30&gt;0, 'Data Sheet'!E31/'Data Sheet'!E30, 0)</f>
        <v>0.80023710729104924</v>
      </c>
      <c r="F18" s="5">
        <f>IF('Data Sheet'!F30&gt;0, 'Data Sheet'!F31/'Data Sheet'!F30, 0)</f>
        <v>1.1904315196998123</v>
      </c>
      <c r="G18" s="5">
        <f>IF('Data Sheet'!G30&gt;0, 'Data Sheet'!G31/'Data Sheet'!G30, 0)</f>
        <v>0.89987611217479446</v>
      </c>
      <c r="H18" s="5">
        <f>IF('Data Sheet'!H30&gt;0, 'Data Sheet'!H31/'Data Sheet'!H30, 0)</f>
        <v>0.90563241106719372</v>
      </c>
      <c r="I18" s="5">
        <f>IF('Data Sheet'!I30&gt;0, 'Data Sheet'!I31/'Data Sheet'!I30, 0)</f>
        <v>0.96039700301644448</v>
      </c>
      <c r="J18" s="5">
        <f>IF('Data Sheet'!J30&gt;0, 'Data Sheet'!J31/'Data Sheet'!J30, 0)</f>
        <v>1.1695933890506152</v>
      </c>
      <c r="K18" s="5">
        <f>IF('Data Sheet'!K30&gt;0, 'Data Sheet'!K31/'Data Sheet'!K30, 0)</f>
        <v>0.640625</v>
      </c>
    </row>
    <row r="19" spans="1:14" x14ac:dyDescent="0.35">
      <c r="A19" t="s">
        <v>18</v>
      </c>
      <c r="B19" s="5">
        <f>IF(B6&gt;0,B6/B4,0)</f>
        <v>0.1908208190097099</v>
      </c>
      <c r="C19" s="5">
        <f t="shared" ref="C19:K19" si="2">IF(C6&gt;0,C6/C4,0)</f>
        <v>0.21097200731467156</v>
      </c>
      <c r="D19" s="5">
        <f t="shared" si="2"/>
        <v>0.2258967183922666</v>
      </c>
      <c r="E19" s="5">
        <f t="shared" si="2"/>
        <v>0.24786969308498605</v>
      </c>
      <c r="F19" s="5">
        <f t="shared" si="2"/>
        <v>0.24721442544866887</v>
      </c>
      <c r="G19" s="5">
        <f t="shared" si="2"/>
        <v>0.24514738969606834</v>
      </c>
      <c r="H19" s="5">
        <f t="shared" si="2"/>
        <v>0.23352591614394189</v>
      </c>
      <c r="I19" s="5">
        <f t="shared" si="2"/>
        <v>0.23683275171255008</v>
      </c>
      <c r="J19" s="5">
        <f t="shared" si="2"/>
        <v>0.23966214453430734</v>
      </c>
      <c r="K19" s="5">
        <f t="shared" si="2"/>
        <v>0.23327852578023206</v>
      </c>
      <c r="L19" s="5">
        <f>IF(L6&gt;0,L6/L4,0)</f>
        <v>0.23176696052127252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7.6658974207876929E-2</v>
      </c>
      <c r="I23" s="5">
        <f>IF(D4=0,"",POWER($K4/D4,1/7)-1)</f>
        <v>7.3227008221417922E-2</v>
      </c>
      <c r="J23" s="5">
        <f>IF(F4=0,"",POWER($K4/F4,1/5)-1)</f>
        <v>6.5117542409641516E-2</v>
      </c>
      <c r="K23" s="5">
        <f>IF(H4=0,"",POWER($K4/H4, 1/3)-1)</f>
        <v>2.0951181546343456E-2</v>
      </c>
      <c r="L23" s="5">
        <f>IF(ISERROR(MAX(IF(J4=0,"",(K4-J4)/J4),IF(K4=0,"",(L4-K4)/K4))),"",MAX(IF(J4=0,"",(K4-J4)/J4),IF(K4=0,"",(L4-K4)/K4)))</f>
        <v>5.1200104356900603E-2</v>
      </c>
      <c r="M23" s="16">
        <f>MAX(K23:L23)</f>
        <v>5.1200104356900603E-2</v>
      </c>
      <c r="N23" s="16">
        <f>MIN(H23:L23)</f>
        <v>2.0951181546343456E-2</v>
      </c>
    </row>
    <row r="24" spans="1:14" x14ac:dyDescent="0.35">
      <c r="G24" t="s">
        <v>18</v>
      </c>
      <c r="H24" s="5">
        <f>IF(SUM(B4:$K$4)=0,"",SUMPRODUCT(B19:$K$19,B4:$K$4)/SUM(B4:$K$4))</f>
        <v>0.23326593293054529</v>
      </c>
      <c r="I24" s="5">
        <f>IF(SUM(E4:$K$4)=0,"",SUMPRODUCT(E19:$K$19,E4:$K$4)/SUM(E4:$K$4))</f>
        <v>0.23969044897285108</v>
      </c>
      <c r="J24" s="5">
        <f>IF(SUM(G4:$K$4)=0,"",SUMPRODUCT(G19:$K$19,G4:$K$4)/SUM(G4:$K$4))</f>
        <v>0.23743174668626421</v>
      </c>
      <c r="K24" s="5">
        <f>IF(SUM(I4:$K$4)=0, "", SUMPRODUCT(I19:$K$19,I4:$K$4)/SUM(I4:$K$4))</f>
        <v>0.23653645333844808</v>
      </c>
      <c r="L24" s="5">
        <f>L19</f>
        <v>0.23176696052127252</v>
      </c>
      <c r="M24" s="16">
        <f>MAX(K24:L24)</f>
        <v>0.23653645333844808</v>
      </c>
      <c r="N24" s="16">
        <f>MIN(H24:L24)</f>
        <v>0.23176696052127252</v>
      </c>
    </row>
    <row r="25" spans="1:14" x14ac:dyDescent="0.35">
      <c r="G25" t="s">
        <v>23</v>
      </c>
      <c r="H25" s="6">
        <f>IF(ISERROR(AVERAGEIF(B14:$L14,"&gt;0")),"",AVERAGEIF(B14:$L14,"&gt;0"))</f>
        <v>51.380140203757918</v>
      </c>
      <c r="I25" s="6">
        <f>IF(ISERROR(AVERAGEIF(E14:$L14,"&gt;0")),"",AVERAGEIF(E14:$L14,"&gt;0"))</f>
        <v>51.450379785381763</v>
      </c>
      <c r="J25" s="6">
        <f>IF(ISERROR(AVERAGEIF(G14:$L14,"&gt;0")),"",AVERAGEIF(G14:$L14,"&gt;0"))</f>
        <v>45.440146237117681</v>
      </c>
      <c r="K25" s="6">
        <f>IF(ISERROR(AVERAGEIF(I14:$L14,"&gt;0")),"",AVERAGEIF(I14:$L14,"&gt;0"))</f>
        <v>40.965787004501053</v>
      </c>
      <c r="L25" s="6">
        <f>L14</f>
        <v>34.509621010638298</v>
      </c>
      <c r="M25" s="1">
        <f>MAX(K25:L25)</f>
        <v>40.965787004501053</v>
      </c>
      <c r="N25" s="1">
        <f>MIN(H25:L25)</f>
        <v>34.509621010638298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HINDUSTAN UNILEVER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15567</v>
      </c>
      <c r="C4" s="1">
        <f>'Data Sheet'!C42</f>
        <v>15210</v>
      </c>
      <c r="D4" s="1">
        <f>'Data Sheet'!D42</f>
        <v>15707</v>
      </c>
      <c r="E4" s="1">
        <f>'Data Sheet'!E42</f>
        <v>15926</v>
      </c>
      <c r="F4" s="1">
        <f>'Data Sheet'!F42</f>
        <v>15556</v>
      </c>
      <c r="G4" s="1">
        <f>'Data Sheet'!G42</f>
        <v>15190</v>
      </c>
      <c r="H4" s="1">
        <f>'Data Sheet'!H42</f>
        <v>16514</v>
      </c>
      <c r="I4" s="1">
        <f>'Data Sheet'!I42</f>
        <v>15919</v>
      </c>
      <c r="J4" s="1">
        <f>'Data Sheet'!J42</f>
        <v>16441</v>
      </c>
      <c r="K4" s="1">
        <f>'Data Sheet'!K42</f>
        <v>16351</v>
      </c>
    </row>
    <row r="5" spans="1:11" x14ac:dyDescent="0.35">
      <c r="A5" t="s">
        <v>7</v>
      </c>
      <c r="B5" s="6">
        <f>'Data Sheet'!B43</f>
        <v>11902</v>
      </c>
      <c r="C5" s="6">
        <f>'Data Sheet'!C43</f>
        <v>11675</v>
      </c>
      <c r="D5" s="6">
        <f>'Data Sheet'!D43</f>
        <v>11965</v>
      </c>
      <c r="E5" s="6">
        <f>'Data Sheet'!E43</f>
        <v>12139</v>
      </c>
      <c r="F5" s="6">
        <f>'Data Sheet'!F43</f>
        <v>11867</v>
      </c>
      <c r="G5" s="6">
        <f>'Data Sheet'!G43</f>
        <v>11572</v>
      </c>
      <c r="H5" s="6">
        <f>'Data Sheet'!H43</f>
        <v>12797</v>
      </c>
      <c r="I5" s="6">
        <f>'Data Sheet'!I43</f>
        <v>12137</v>
      </c>
      <c r="J5" s="6">
        <f>'Data Sheet'!J43</f>
        <v>12660</v>
      </c>
      <c r="K5" s="6">
        <f>'Data Sheet'!K43</f>
        <v>12514</v>
      </c>
    </row>
    <row r="6" spans="1:11" s="2" customFormat="1" x14ac:dyDescent="0.35">
      <c r="A6" s="2" t="s">
        <v>8</v>
      </c>
      <c r="B6" s="1">
        <f>'Data Sheet'!B50</f>
        <v>3665</v>
      </c>
      <c r="C6" s="1">
        <f>'Data Sheet'!C50</f>
        <v>3535</v>
      </c>
      <c r="D6" s="1">
        <f>'Data Sheet'!D50</f>
        <v>3742</v>
      </c>
      <c r="E6" s="1">
        <f>'Data Sheet'!E50</f>
        <v>3787</v>
      </c>
      <c r="F6" s="1">
        <f>'Data Sheet'!F50</f>
        <v>3689</v>
      </c>
      <c r="G6" s="1">
        <f>'Data Sheet'!G50</f>
        <v>3618</v>
      </c>
      <c r="H6" s="1">
        <f>'Data Sheet'!H50</f>
        <v>3717</v>
      </c>
      <c r="I6" s="1">
        <f>'Data Sheet'!I50</f>
        <v>3782</v>
      </c>
      <c r="J6" s="1">
        <f>'Data Sheet'!J50</f>
        <v>3781</v>
      </c>
      <c r="K6" s="1">
        <f>'Data Sheet'!K50</f>
        <v>3837</v>
      </c>
    </row>
    <row r="7" spans="1:11" x14ac:dyDescent="0.35">
      <c r="A7" t="s">
        <v>9</v>
      </c>
      <c r="B7" s="6">
        <f>'Data Sheet'!B44</f>
        <v>184</v>
      </c>
      <c r="C7" s="6">
        <f>'Data Sheet'!C44</f>
        <v>309</v>
      </c>
      <c r="D7" s="6">
        <f>'Data Sheet'!D44</f>
        <v>209</v>
      </c>
      <c r="E7" s="6">
        <f>'Data Sheet'!E44</f>
        <v>203</v>
      </c>
      <c r="F7" s="6">
        <f>'Data Sheet'!F44</f>
        <v>733</v>
      </c>
      <c r="G7" s="6">
        <f>'Data Sheet'!G44</f>
        <v>149</v>
      </c>
      <c r="H7" s="6">
        <f>'Data Sheet'!H44</f>
        <v>74</v>
      </c>
      <c r="I7" s="6">
        <f>'Data Sheet'!I44</f>
        <v>269</v>
      </c>
      <c r="J7" s="6">
        <f>'Data Sheet'!J44</f>
        <v>4048</v>
      </c>
      <c r="K7" s="6">
        <f>'Data Sheet'!K44</f>
        <v>503</v>
      </c>
    </row>
    <row r="8" spans="1:11" x14ac:dyDescent="0.35">
      <c r="A8" t="s">
        <v>10</v>
      </c>
      <c r="B8" s="6">
        <f>'Data Sheet'!B45</f>
        <v>313</v>
      </c>
      <c r="C8" s="6">
        <f>'Data Sheet'!C45</f>
        <v>320</v>
      </c>
      <c r="D8" s="6">
        <f>'Data Sheet'!D45</f>
        <v>329</v>
      </c>
      <c r="E8" s="6">
        <f>'Data Sheet'!E45</f>
        <v>338</v>
      </c>
      <c r="F8" s="6">
        <f>'Data Sheet'!F45</f>
        <v>318</v>
      </c>
      <c r="G8" s="6">
        <f>'Data Sheet'!G45</f>
        <v>318</v>
      </c>
      <c r="H8" s="6">
        <f>'Data Sheet'!H45</f>
        <v>361</v>
      </c>
      <c r="I8" s="6">
        <f>'Data Sheet'!I45</f>
        <v>322</v>
      </c>
      <c r="J8" s="6">
        <f>'Data Sheet'!J45</f>
        <v>337</v>
      </c>
      <c r="K8" s="6">
        <f>'Data Sheet'!K45</f>
        <v>348</v>
      </c>
    </row>
    <row r="9" spans="1:11" x14ac:dyDescent="0.35">
      <c r="A9" t="s">
        <v>11</v>
      </c>
      <c r="B9" s="6">
        <f>'Data Sheet'!B46</f>
        <v>91</v>
      </c>
      <c r="C9" s="6">
        <f>'Data Sheet'!C46</f>
        <v>105</v>
      </c>
      <c r="D9" s="6">
        <f>'Data Sheet'!D46</f>
        <v>93</v>
      </c>
      <c r="E9" s="6">
        <f>'Data Sheet'!E46</f>
        <v>110</v>
      </c>
      <c r="F9" s="6">
        <f>'Data Sheet'!F46</f>
        <v>109</v>
      </c>
      <c r="G9" s="6">
        <f>'Data Sheet'!G46</f>
        <v>77</v>
      </c>
      <c r="H9" s="6">
        <f>'Data Sheet'!H46</f>
        <v>127</v>
      </c>
      <c r="I9" s="6">
        <f>'Data Sheet'!I46</f>
        <v>124</v>
      </c>
      <c r="J9" s="6">
        <f>'Data Sheet'!J46</f>
        <v>88</v>
      </c>
      <c r="K9" s="6">
        <f>'Data Sheet'!K46</f>
        <v>76</v>
      </c>
    </row>
    <row r="10" spans="1:11" x14ac:dyDescent="0.35">
      <c r="A10" t="s">
        <v>12</v>
      </c>
      <c r="B10" s="6">
        <f>'Data Sheet'!B47</f>
        <v>3445</v>
      </c>
      <c r="C10" s="6">
        <f>'Data Sheet'!C47</f>
        <v>3419</v>
      </c>
      <c r="D10" s="6">
        <f>'Data Sheet'!D47</f>
        <v>3529</v>
      </c>
      <c r="E10" s="6">
        <f>'Data Sheet'!E47</f>
        <v>3542</v>
      </c>
      <c r="F10" s="6">
        <f>'Data Sheet'!F47</f>
        <v>3995</v>
      </c>
      <c r="G10" s="6">
        <f>'Data Sheet'!G47</f>
        <v>3372</v>
      </c>
      <c r="H10" s="6">
        <f>'Data Sheet'!H47</f>
        <v>3303</v>
      </c>
      <c r="I10" s="6">
        <f>'Data Sheet'!I47</f>
        <v>3605</v>
      </c>
      <c r="J10" s="6">
        <f>'Data Sheet'!J47</f>
        <v>7404</v>
      </c>
      <c r="K10" s="6">
        <f>'Data Sheet'!K47</f>
        <v>3916</v>
      </c>
    </row>
    <row r="11" spans="1:11" x14ac:dyDescent="0.35">
      <c r="A11" t="s">
        <v>13</v>
      </c>
      <c r="B11" s="6">
        <f>'Data Sheet'!B48</f>
        <v>937</v>
      </c>
      <c r="C11" s="6">
        <f>'Data Sheet'!C48</f>
        <v>858</v>
      </c>
      <c r="D11" s="6">
        <f>'Data Sheet'!D48</f>
        <v>917</v>
      </c>
      <c r="E11" s="6">
        <f>'Data Sheet'!E48</f>
        <v>947</v>
      </c>
      <c r="F11" s="6">
        <f>'Data Sheet'!F48</f>
        <v>1006</v>
      </c>
      <c r="G11" s="6">
        <f>'Data Sheet'!G48</f>
        <v>897</v>
      </c>
      <c r="H11" s="6">
        <f>'Data Sheet'!H48</f>
        <v>535</v>
      </c>
      <c r="I11" s="6">
        <f>'Data Sheet'!I48</f>
        <v>911</v>
      </c>
      <c r="J11" s="6">
        <f>'Data Sheet'!J48</f>
        <v>801</v>
      </c>
      <c r="K11" s="6">
        <f>'Data Sheet'!K48</f>
        <v>922</v>
      </c>
    </row>
    <row r="12" spans="1:11" s="2" customFormat="1" x14ac:dyDescent="0.35">
      <c r="A12" s="2" t="s">
        <v>14</v>
      </c>
      <c r="B12" s="1">
        <f>'Data Sheet'!B49</f>
        <v>2509</v>
      </c>
      <c r="C12" s="1">
        <f>'Data Sheet'!C49</f>
        <v>2558</v>
      </c>
      <c r="D12" s="1">
        <f>'Data Sheet'!D49</f>
        <v>2610</v>
      </c>
      <c r="E12" s="1">
        <f>'Data Sheet'!E49</f>
        <v>2591</v>
      </c>
      <c r="F12" s="1">
        <f>'Data Sheet'!F49</f>
        <v>2984</v>
      </c>
      <c r="G12" s="1">
        <f>'Data Sheet'!G49</f>
        <v>2464</v>
      </c>
      <c r="H12" s="1">
        <f>'Data Sheet'!H49</f>
        <v>2756</v>
      </c>
      <c r="I12" s="1">
        <f>'Data Sheet'!I49</f>
        <v>2685</v>
      </c>
      <c r="J12" s="1">
        <f>'Data Sheet'!J49</f>
        <v>6607</v>
      </c>
      <c r="K12" s="1">
        <f>'Data Sheet'!K49</f>
        <v>2992</v>
      </c>
    </row>
    <row r="14" spans="1:11" s="2" customFormat="1" x14ac:dyDescent="0.35">
      <c r="A14" s="2" t="s">
        <v>18</v>
      </c>
      <c r="B14" s="10">
        <f>IF(B4&gt;0,B6/B4,"")</f>
        <v>0.23543393075094751</v>
      </c>
      <c r="C14" s="10">
        <f t="shared" ref="C14:K14" si="0">IF(C4&gt;0,C6/C4,"")</f>
        <v>0.23241288625904011</v>
      </c>
      <c r="D14" s="10">
        <f t="shared" si="0"/>
        <v>0.23823772840134971</v>
      </c>
      <c r="E14" s="10">
        <f t="shared" si="0"/>
        <v>0.23778726610573905</v>
      </c>
      <c r="F14" s="10">
        <f t="shared" si="0"/>
        <v>0.23714322447930059</v>
      </c>
      <c r="G14" s="10">
        <f t="shared" si="0"/>
        <v>0.2381830151415405</v>
      </c>
      <c r="H14" s="10">
        <f t="shared" si="0"/>
        <v>0.22508174881918372</v>
      </c>
      <c r="I14" s="10">
        <f t="shared" si="0"/>
        <v>0.23757773729505621</v>
      </c>
      <c r="J14" s="10">
        <f t="shared" si="0"/>
        <v>0.22997384587312208</v>
      </c>
      <c r="K14" s="10">
        <f t="shared" si="0"/>
        <v>0.23466454651091675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5" activePane="bottomRight" state="frozen"/>
      <selection activeCell="C4" sqref="C4"/>
      <selection pane="topRight" activeCell="C4" sqref="C4"/>
      <selection pane="bottomLeft" activeCell="C4" sqref="C4"/>
      <selection pane="bottomRight" activeCell="B13" sqref="B13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HINDUSTAN UNILEVER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235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 x14ac:dyDescent="0.35">
      <c r="A5" t="s">
        <v>25</v>
      </c>
      <c r="B5" s="14">
        <f>'Data Sheet'!B58</f>
        <v>6528</v>
      </c>
      <c r="C5" s="14">
        <f>'Data Sheet'!C58</f>
        <v>7065</v>
      </c>
      <c r="D5" s="14">
        <f>'Data Sheet'!D58</f>
        <v>7651</v>
      </c>
      <c r="E5" s="14">
        <f>'Data Sheet'!E58</f>
        <v>8013</v>
      </c>
      <c r="F5" s="14">
        <f>'Data Sheet'!F58</f>
        <v>47439</v>
      </c>
      <c r="G5" s="14">
        <f>'Data Sheet'!G58</f>
        <v>48826</v>
      </c>
      <c r="H5" s="14">
        <f>'Data Sheet'!H58</f>
        <v>50069</v>
      </c>
      <c r="I5" s="14">
        <f>'Data Sheet'!I58</f>
        <v>50983</v>
      </c>
      <c r="J5" s="14">
        <f>'Data Sheet'!J58</f>
        <v>49167</v>
      </c>
      <c r="K5" s="14">
        <f>'Data Sheet'!K58</f>
        <v>48504</v>
      </c>
    </row>
    <row r="6" spans="1:11" x14ac:dyDescent="0.35">
      <c r="A6" t="s">
        <v>71</v>
      </c>
      <c r="B6" s="14">
        <f>'Data Sheet'!B59</f>
        <v>277</v>
      </c>
      <c r="C6" s="14">
        <f>'Data Sheet'!C59</f>
        <v>0</v>
      </c>
      <c r="D6" s="14">
        <f>'Data Sheet'!D59</f>
        <v>99</v>
      </c>
      <c r="E6" s="14">
        <f>'Data Sheet'!E59</f>
        <v>0</v>
      </c>
      <c r="F6" s="14">
        <f>'Data Sheet'!F59</f>
        <v>0</v>
      </c>
      <c r="G6" s="14">
        <f>'Data Sheet'!G59</f>
        <v>1043</v>
      </c>
      <c r="H6" s="14">
        <f>'Data Sheet'!H59</f>
        <v>1219</v>
      </c>
      <c r="I6" s="14">
        <f>'Data Sheet'!I59</f>
        <v>1484</v>
      </c>
      <c r="J6" s="14">
        <f>'Data Sheet'!J59</f>
        <v>1648</v>
      </c>
      <c r="K6" s="14">
        <f>'Data Sheet'!K59</f>
        <v>1478</v>
      </c>
    </row>
    <row r="7" spans="1:11" x14ac:dyDescent="0.35">
      <c r="A7" t="s">
        <v>72</v>
      </c>
      <c r="B7" s="14">
        <f>'Data Sheet'!B60</f>
        <v>2499</v>
      </c>
      <c r="C7" s="14">
        <f>'Data Sheet'!C60</f>
        <v>3411</v>
      </c>
      <c r="D7" s="14">
        <f>'Data Sheet'!D60</f>
        <v>3457</v>
      </c>
      <c r="E7" s="14">
        <f>'Data Sheet'!E60</f>
        <v>4389</v>
      </c>
      <c r="F7" s="14">
        <f>'Data Sheet'!F60</f>
        <v>12264</v>
      </c>
      <c r="G7" s="14">
        <f>'Data Sheet'!G60</f>
        <v>11334</v>
      </c>
      <c r="H7" s="14">
        <f>'Data Sheet'!H60</f>
        <v>11980</v>
      </c>
      <c r="I7" s="14">
        <f>'Data Sheet'!I60</f>
        <v>15301</v>
      </c>
      <c r="J7" s="14">
        <f>'Data Sheet'!J60</f>
        <v>17498</v>
      </c>
      <c r="K7" s="14">
        <f>'Data Sheet'!K60</f>
        <v>16196</v>
      </c>
    </row>
    <row r="8" spans="1:11" s="2" customFormat="1" x14ac:dyDescent="0.35">
      <c r="A8" s="2" t="s">
        <v>26</v>
      </c>
      <c r="B8" s="15">
        <f>'Data Sheet'!B62</f>
        <v>15706</v>
      </c>
      <c r="C8" s="15">
        <f>'Data Sheet'!C62</f>
        <v>17862</v>
      </c>
      <c r="D8" s="15">
        <f>'Data Sheet'!D62</f>
        <v>18629</v>
      </c>
      <c r="E8" s="15">
        <f>'Data Sheet'!E62</f>
        <v>20153</v>
      </c>
      <c r="F8" s="15">
        <f>'Data Sheet'!F62</f>
        <v>68740</v>
      </c>
      <c r="G8" s="15">
        <f>'Data Sheet'!G62</f>
        <v>70506</v>
      </c>
      <c r="H8" s="15">
        <f>'Data Sheet'!H62</f>
        <v>73077</v>
      </c>
      <c r="I8" s="15">
        <f>'Data Sheet'!I62</f>
        <v>78489</v>
      </c>
      <c r="J8" s="15">
        <f>'Data Sheet'!J62</f>
        <v>79863</v>
      </c>
      <c r="K8" s="15">
        <f>'Data Sheet'!K62</f>
        <v>79738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Sheet'!B63</f>
        <v>4419</v>
      </c>
      <c r="C10" s="14">
        <f>'Data Sheet'!C63</f>
        <v>4528</v>
      </c>
      <c r="D10" s="14">
        <f>'Data Sheet'!D63</f>
        <v>4715</v>
      </c>
      <c r="E10" s="14">
        <f>'Data Sheet'!E63</f>
        <v>5479</v>
      </c>
      <c r="F10" s="14">
        <f>'Data Sheet'!F63</f>
        <v>51443</v>
      </c>
      <c r="G10" s="14">
        <f>'Data Sheet'!G63</f>
        <v>51473</v>
      </c>
      <c r="H10" s="14">
        <f>'Data Sheet'!H63</f>
        <v>52678</v>
      </c>
      <c r="I10" s="14">
        <f>'Data Sheet'!I63</f>
        <v>53744</v>
      </c>
      <c r="J10" s="14">
        <f>'Data Sheet'!J63</f>
        <v>54335</v>
      </c>
      <c r="K10" s="14">
        <f>'Data Sheet'!K63</f>
        <v>57428</v>
      </c>
    </row>
    <row r="11" spans="1:11" x14ac:dyDescent="0.35">
      <c r="A11" t="s">
        <v>28</v>
      </c>
      <c r="B11" s="14">
        <f>'Data Sheet'!B64</f>
        <v>229</v>
      </c>
      <c r="C11" s="14">
        <f>'Data Sheet'!C64</f>
        <v>461</v>
      </c>
      <c r="D11" s="14">
        <f>'Data Sheet'!D64</f>
        <v>406</v>
      </c>
      <c r="E11" s="14">
        <f>'Data Sheet'!E64</f>
        <v>597</v>
      </c>
      <c r="F11" s="14">
        <f>'Data Sheet'!F64</f>
        <v>745</v>
      </c>
      <c r="G11" s="14">
        <f>'Data Sheet'!G64</f>
        <v>1313</v>
      </c>
      <c r="H11" s="14">
        <f>'Data Sheet'!H64</f>
        <v>1132</v>
      </c>
      <c r="I11" s="14">
        <f>'Data Sheet'!I64</f>
        <v>1025</v>
      </c>
      <c r="J11" s="14">
        <f>'Data Sheet'!J64</f>
        <v>1009</v>
      </c>
      <c r="K11" s="14">
        <f>'Data Sheet'!K64</f>
        <v>880</v>
      </c>
    </row>
    <row r="12" spans="1:11" x14ac:dyDescent="0.35">
      <c r="A12" t="s">
        <v>29</v>
      </c>
      <c r="B12" s="14">
        <f>'Data Sheet'!B65</f>
        <v>3794</v>
      </c>
      <c r="C12" s="14">
        <f>'Data Sheet'!C65</f>
        <v>2873</v>
      </c>
      <c r="D12" s="14">
        <f>'Data Sheet'!D65</f>
        <v>2716</v>
      </c>
      <c r="E12" s="14">
        <f>'Data Sheet'!E65</f>
        <v>1255</v>
      </c>
      <c r="F12" s="14">
        <f>'Data Sheet'!F65</f>
        <v>2709</v>
      </c>
      <c r="G12" s="14">
        <f>'Data Sheet'!G65</f>
        <v>3521</v>
      </c>
      <c r="H12" s="14">
        <f>'Data Sheet'!H65</f>
        <v>2882</v>
      </c>
      <c r="I12" s="14">
        <f>'Data Sheet'!I65</f>
        <v>4625</v>
      </c>
      <c r="J12" s="14">
        <f>'Data Sheet'!J65</f>
        <v>3810</v>
      </c>
      <c r="K12" s="14">
        <f>'Data Sheet'!K65</f>
        <v>4359</v>
      </c>
    </row>
    <row r="13" spans="1:11" x14ac:dyDescent="0.35">
      <c r="A13" t="s">
        <v>73</v>
      </c>
      <c r="B13" s="14">
        <f>'Data Sheet'!B66</f>
        <v>7264</v>
      </c>
      <c r="C13" s="14">
        <f>'Data Sheet'!C66</f>
        <v>10000</v>
      </c>
      <c r="D13" s="14">
        <f>'Data Sheet'!D66</f>
        <v>10792</v>
      </c>
      <c r="E13" s="14">
        <f>'Data Sheet'!E66</f>
        <v>12822</v>
      </c>
      <c r="F13" s="14">
        <f>'Data Sheet'!F66</f>
        <v>13843</v>
      </c>
      <c r="G13" s="14">
        <f>'Data Sheet'!G66</f>
        <v>14199</v>
      </c>
      <c r="H13" s="14">
        <f>'Data Sheet'!H66</f>
        <v>16385</v>
      </c>
      <c r="I13" s="14">
        <f>'Data Sheet'!I66</f>
        <v>19095</v>
      </c>
      <c r="J13" s="14">
        <f>'Data Sheet'!J66</f>
        <v>20709</v>
      </c>
      <c r="K13" s="14">
        <f>'Data Sheet'!K66</f>
        <v>17071</v>
      </c>
    </row>
    <row r="14" spans="1:11" s="2" customFormat="1" x14ac:dyDescent="0.35">
      <c r="A14" s="2" t="s">
        <v>26</v>
      </c>
      <c r="B14" s="14">
        <f>'Data Sheet'!B67</f>
        <v>15706</v>
      </c>
      <c r="C14" s="14">
        <f>'Data Sheet'!C67</f>
        <v>17862</v>
      </c>
      <c r="D14" s="14">
        <f>'Data Sheet'!D67</f>
        <v>18629</v>
      </c>
      <c r="E14" s="14">
        <f>'Data Sheet'!E67</f>
        <v>20153</v>
      </c>
      <c r="F14" s="14">
        <f>'Data Sheet'!F67</f>
        <v>68740</v>
      </c>
      <c r="G14" s="14">
        <f>'Data Sheet'!G67</f>
        <v>70506</v>
      </c>
      <c r="H14" s="14">
        <f>'Data Sheet'!H67</f>
        <v>73077</v>
      </c>
      <c r="I14" s="14">
        <f>'Data Sheet'!I67</f>
        <v>78489</v>
      </c>
      <c r="J14" s="14">
        <f>'Data Sheet'!J67</f>
        <v>79863</v>
      </c>
      <c r="K14" s="14">
        <f>'Data Sheet'!K67</f>
        <v>79738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4765</v>
      </c>
      <c r="C16" s="4">
        <f t="shared" ref="C16:K16" si="0">C13-C7</f>
        <v>6589</v>
      </c>
      <c r="D16" s="4">
        <f t="shared" si="0"/>
        <v>7335</v>
      </c>
      <c r="E16" s="4">
        <f t="shared" si="0"/>
        <v>8433</v>
      </c>
      <c r="F16" s="4">
        <f t="shared" si="0"/>
        <v>1579</v>
      </c>
      <c r="G16" s="4">
        <f t="shared" si="0"/>
        <v>2865</v>
      </c>
      <c r="H16" s="4">
        <f t="shared" si="0"/>
        <v>4405</v>
      </c>
      <c r="I16" s="4">
        <f t="shared" si="0"/>
        <v>3794</v>
      </c>
      <c r="J16" s="4">
        <f t="shared" si="0"/>
        <v>3211</v>
      </c>
      <c r="K16" s="4">
        <f t="shared" si="0"/>
        <v>875</v>
      </c>
    </row>
    <row r="17" spans="1:11" x14ac:dyDescent="0.35">
      <c r="A17" t="s">
        <v>44</v>
      </c>
      <c r="B17" s="4">
        <f>'Data Sheet'!B68</f>
        <v>1085</v>
      </c>
      <c r="C17" s="4">
        <f>'Data Sheet'!C68</f>
        <v>1310</v>
      </c>
      <c r="D17" s="4">
        <f>'Data Sheet'!D68</f>
        <v>1816</v>
      </c>
      <c r="E17" s="4">
        <f>'Data Sheet'!E68</f>
        <v>1149</v>
      </c>
      <c r="F17" s="4">
        <f>'Data Sheet'!F68</f>
        <v>1758</v>
      </c>
      <c r="G17" s="4">
        <f>'Data Sheet'!G68</f>
        <v>2236</v>
      </c>
      <c r="H17" s="4">
        <f>'Data Sheet'!H68</f>
        <v>3079</v>
      </c>
      <c r="I17" s="4">
        <f>'Data Sheet'!I68</f>
        <v>2997</v>
      </c>
      <c r="J17" s="4">
        <f>'Data Sheet'!J68</f>
        <v>3819</v>
      </c>
      <c r="K17" s="4">
        <f>'Data Sheet'!K68</f>
        <v>3379</v>
      </c>
    </row>
    <row r="18" spans="1:11" x14ac:dyDescent="0.35">
      <c r="A18" t="s">
        <v>45</v>
      </c>
      <c r="B18" s="4">
        <f>'Data Sheet'!B69</f>
        <v>2541</v>
      </c>
      <c r="C18" s="4">
        <f>'Data Sheet'!C69</f>
        <v>2513</v>
      </c>
      <c r="D18" s="4">
        <f>'Data Sheet'!D69</f>
        <v>2574</v>
      </c>
      <c r="E18" s="4">
        <f>'Data Sheet'!E69</f>
        <v>2767</v>
      </c>
      <c r="F18" s="4">
        <f>'Data Sheet'!F69</f>
        <v>3579</v>
      </c>
      <c r="G18" s="4">
        <f>'Data Sheet'!G69</f>
        <v>4096</v>
      </c>
      <c r="H18" s="4">
        <f>'Data Sheet'!H69</f>
        <v>4251</v>
      </c>
      <c r="I18" s="4">
        <f>'Data Sheet'!I69</f>
        <v>4022</v>
      </c>
      <c r="J18" s="4">
        <f>'Data Sheet'!J69</f>
        <v>4415</v>
      </c>
      <c r="K18" s="4">
        <f>'Data Sheet'!K69</f>
        <v>4789</v>
      </c>
    </row>
    <row r="20" spans="1:11" x14ac:dyDescent="0.35">
      <c r="A20" t="s">
        <v>46</v>
      </c>
      <c r="B20" s="4">
        <f>IF('Profit &amp; Loss'!B4&gt;0,'Balance Sheet'!B17/('Profit &amp; Loss'!B4/365),0)</f>
        <v>11.942132561365419</v>
      </c>
      <c r="C20" s="4">
        <f>IF('Profit &amp; Loss'!C4&gt;0,'Balance Sheet'!C17/('Profit &amp; Loss'!C4/365),0)</f>
        <v>13.4519623013082</v>
      </c>
      <c r="D20" s="4">
        <f>IF('Profit &amp; Loss'!D4&gt;0,'Balance Sheet'!D17/('Profit &amp; Loss'!D4/365),0)</f>
        <v>16.861867209361485</v>
      </c>
      <c r="E20" s="4">
        <f>IF('Profit &amp; Loss'!E4&gt;0,'Balance Sheet'!E17/('Profit &amp; Loss'!E4/365),0)</f>
        <v>10.541814342809744</v>
      </c>
      <c r="F20" s="4">
        <f>IF('Profit &amp; Loss'!F4&gt;0,'Balance Sheet'!F17/('Profit &amp; Loss'!F4/365),0)</f>
        <v>13.644424598111764</v>
      </c>
      <c r="G20" s="4">
        <f>IF('Profit &amp; Loss'!G4&gt;0,'Balance Sheet'!G17/('Profit &amp; Loss'!G4/365),0)</f>
        <v>15.56152995461999</v>
      </c>
      <c r="H20" s="4">
        <f>IF('Profit &amp; Loss'!H4&gt;0,'Balance Sheet'!H17/('Profit &amp; Loss'!H4/365),0)</f>
        <v>18.551254539451964</v>
      </c>
      <c r="I20" s="4">
        <f>IF('Profit &amp; Loss'!I4&gt;0,'Balance Sheet'!I17/('Profit &amp; Loss'!I4/365),0)</f>
        <v>17.673274525009692</v>
      </c>
      <c r="J20" s="4">
        <f>IF('Profit &amp; Loss'!J4&gt;0,'Balance Sheet'!J17/('Profit &amp; Loss'!J4/365),0)</f>
        <v>22.729177537177147</v>
      </c>
      <c r="K20" s="4">
        <f>IF('Profit &amp; Loss'!K4&gt;0,'Balance Sheet'!K17/('Profit &amp; Loss'!K4/365),0)</f>
        <v>19.130964199292674</v>
      </c>
    </row>
    <row r="21" spans="1:11" x14ac:dyDescent="0.35">
      <c r="A21" t="s">
        <v>47</v>
      </c>
      <c r="B21" s="4">
        <f>IF('Balance Sheet'!B18&gt;0,'Profit &amp; Loss'!B4/'Balance Sheet'!B18,0)</f>
        <v>13.050767414403778</v>
      </c>
      <c r="C21" s="4">
        <f>IF('Balance Sheet'!C18&gt;0,'Profit &amp; Loss'!C4/'Balance Sheet'!C18,0)</f>
        <v>14.144448865897333</v>
      </c>
      <c r="D21" s="4">
        <f>IF('Balance Sheet'!D18&gt;0,'Profit &amp; Loss'!D4/'Balance Sheet'!D18,0)</f>
        <v>15.271950271950272</v>
      </c>
      <c r="E21" s="4">
        <f>IF('Balance Sheet'!E18&gt;0,'Profit &amp; Loss'!E4/'Balance Sheet'!E18,0)</f>
        <v>14.377665341525118</v>
      </c>
      <c r="F21" s="4">
        <f>IF('Balance Sheet'!F18&gt;0,'Profit &amp; Loss'!F4/'Balance Sheet'!F18,0)</f>
        <v>13.139983235540655</v>
      </c>
      <c r="G21" s="4">
        <f>IF('Balance Sheet'!G18&gt;0,'Profit &amp; Loss'!G4/'Balance Sheet'!G18,0)</f>
        <v>12.80419921875</v>
      </c>
      <c r="H21" s="4">
        <f>IF('Balance Sheet'!H18&gt;0,'Profit &amp; Loss'!H4/'Balance Sheet'!H18,0)</f>
        <v>14.250764525993883</v>
      </c>
      <c r="I21" s="4">
        <f>IF('Balance Sheet'!I18&gt;0,'Profit &amp; Loss'!I4/'Balance Sheet'!I18,0)</f>
        <v>15.389358528095475</v>
      </c>
      <c r="J21" s="4">
        <f>IF('Balance Sheet'!J18&gt;0,'Profit &amp; Loss'!J4/'Balance Sheet'!J18,0)</f>
        <v>13.890826727066818</v>
      </c>
      <c r="K21" s="4">
        <f>IF('Balance Sheet'!K18&gt;0,'Profit &amp; Loss'!K4/'Balance Sheet'!K18,0)</f>
        <v>13.461683023595739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0.66370106761565839</v>
      </c>
      <c r="C23" s="10">
        <f>IF(SUM('Balance Sheet'!C4:C5)&gt;0,'Profit &amp; Loss'!C12/SUM('Balance Sheet'!C4:C5),"")</f>
        <v>0.71611042439225381</v>
      </c>
      <c r="D23" s="10">
        <f>IF(SUM('Balance Sheet'!D4:D5)&gt;0,'Profit &amp; Loss'!D12/SUM('Balance Sheet'!D4:D5),"")</f>
        <v>0.76954366340409308</v>
      </c>
      <c r="E23" s="10">
        <f>IF(SUM('Balance Sheet'!E4:E5)&gt;0,'Profit &amp; Loss'!E12/SUM('Balance Sheet'!E4:E5),"")</f>
        <v>0.82002673471867782</v>
      </c>
      <c r="F23" s="10">
        <f>IF(SUM('Balance Sheet'!F4:F5)&gt;0,'Profit &amp; Loss'!F12/SUM('Balance Sheet'!F4:F5),"")</f>
        <v>0.16770147250073414</v>
      </c>
      <c r="G23" s="10">
        <f>IF(SUM('Balance Sheet'!G4:G5)&gt;0,'Profit &amp; Loss'!G12/SUM('Balance Sheet'!G4:G5),"")</f>
        <v>0.18097878151688715</v>
      </c>
      <c r="H23" s="10">
        <f>IF(SUM('Balance Sheet'!H4:H5)&gt;0,'Profit &amp; Loss'!H12/SUM('Balance Sheet'!H4:H5),"")</f>
        <v>0.201176844783715</v>
      </c>
      <c r="I23" s="10">
        <f>IF(SUM('Balance Sheet'!I4:I5)&gt;0,'Profit &amp; Loss'!I12/SUM('Balance Sheet'!I4:I5),"")</f>
        <v>0.20065211449099926</v>
      </c>
      <c r="J23" s="10">
        <f>IF(SUM('Balance Sheet'!J4:J5)&gt;0,'Profit &amp; Loss'!J12/SUM('Balance Sheet'!J4:J5),"")</f>
        <v>0.21555807457187967</v>
      </c>
      <c r="K23" s="10">
        <f>IF(SUM('Balance Sheet'!K4:K5)&gt;0,'Profit &amp; Loss'!K12/SUM('Balance Sheet'!K4:K5),"")</f>
        <v>0.3085824493731919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1.0253111452943644</v>
      </c>
      <c r="D24" s="10">
        <f>IF((C4+C5+C6+D4+D5+D6)&gt;0,('Profit &amp; Loss'!D10+'Profit &amp; Loss'!D9)*2/(C4+C5+C6+D4+D5+D6),"")</f>
        <v>1.1329441857414573</v>
      </c>
      <c r="E24" s="10">
        <f>IF((D4+D5+D6+E4+E5+E6)&gt;0,('Profit &amp; Loss'!E10+'Profit &amp; Loss'!E9)*2/(D4+D5+D6+E4+E5+E6),"")</f>
        <v>1.1464032108675517</v>
      </c>
      <c r="F24" s="10">
        <f>IF((E4+E5+E6+F4+F5+F6)&gt;0,('Profit &amp; Loss'!F10+'Profit &amp; Loss'!F9)*2/(E4+E5+E6+F4+F5+F6),"")</f>
        <v>0.38359300931971452</v>
      </c>
      <c r="G24" s="10">
        <f>IF((F4+F5+F6+G4+G5+G6)&gt;0,('Profit &amp; Loss'!G10+'Profit &amp; Loss'!G9)*2/(F4+F5+F6+G4+G5+G6),"")</f>
        <v>0.2451471701200679</v>
      </c>
      <c r="H24" s="10">
        <f>IF((G4+G5+G6+H4+H5+H6)&gt;0,('Profit &amp; Loss'!H10+'Profit &amp; Loss'!H9)*2/(G4+G5+G6+H4+H5+H6),"")</f>
        <v>0.26485087624351794</v>
      </c>
      <c r="I24" s="10">
        <f>IF((H4+H5+H6+I4+I5+I6)&gt;0,('Profit &amp; Loss'!I10+'Profit &amp; Loss'!I9)*2/(H4+H5+H6+I4+I5+I6),"")</f>
        <v>0.27363876229311584</v>
      </c>
      <c r="J24" s="10">
        <f>IF((I4+I5+I6+J4+J5+J6)&gt;0,('Profit &amp; Loss'!J10+'Profit &amp; Loss'!J9)*2/(I4+I5+I6+J4+J5+J6),"")</f>
        <v>0.28529570514303337</v>
      </c>
      <c r="K24" s="10">
        <f>IF((J4+J5+J6+K4+K5+K6)&gt;0,('Profit &amp; Loss'!K10+'Profit &amp; Loss'!K9)*2/(J4+J5+J6+K4+K5+K6),"")</f>
        <v>0.36791847294775198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HINDUSTAN UNILEVER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Sheet'!B82</f>
        <v>42825</v>
      </c>
      <c r="C3" s="12">
        <f>'Data Sheet'!C82</f>
        <v>43190</v>
      </c>
      <c r="D3" s="12">
        <f>'Data Sheet'!D82</f>
        <v>43555</v>
      </c>
      <c r="E3" s="12">
        <f>'Data Sheet'!E82</f>
        <v>43921</v>
      </c>
      <c r="F3" s="12">
        <f>'Data Sheet'!F82</f>
        <v>44286</v>
      </c>
      <c r="G3" s="12">
        <f>'Data Sheet'!G82</f>
        <v>44651</v>
      </c>
      <c r="H3" s="12">
        <f>'Data Sheet'!H82</f>
        <v>45016</v>
      </c>
      <c r="I3" s="12">
        <f>'Data Sheet'!I82</f>
        <v>45382</v>
      </c>
      <c r="J3" s="12">
        <f>'Data Sheet'!J82</f>
        <v>45747</v>
      </c>
      <c r="K3" s="12">
        <f>'Data Sheet'!K82</f>
        <v>46112</v>
      </c>
    </row>
    <row r="4" spans="1:11" s="2" customFormat="1" x14ac:dyDescent="0.35">
      <c r="A4" s="2" t="s">
        <v>32</v>
      </c>
      <c r="B4" s="1">
        <f>'Data Sheet'!B83</f>
        <v>5185</v>
      </c>
      <c r="C4" s="1">
        <f>'Data Sheet'!C83</f>
        <v>6059</v>
      </c>
      <c r="D4" s="1">
        <f>'Data Sheet'!D83</f>
        <v>5800</v>
      </c>
      <c r="E4" s="1">
        <f>'Data Sheet'!E83</f>
        <v>7623</v>
      </c>
      <c r="F4" s="1">
        <f>'Data Sheet'!F83</f>
        <v>9163</v>
      </c>
      <c r="G4" s="1">
        <f>'Data Sheet'!G83</f>
        <v>9048</v>
      </c>
      <c r="H4" s="1">
        <f>'Data Sheet'!H83</f>
        <v>9991</v>
      </c>
      <c r="I4" s="1">
        <f>'Data Sheet'!I83</f>
        <v>15469</v>
      </c>
      <c r="J4" s="1">
        <f>'Data Sheet'!J83</f>
        <v>11886</v>
      </c>
      <c r="K4" s="1">
        <f>'Data Sheet'!K83</f>
        <v>10999</v>
      </c>
    </row>
    <row r="5" spans="1:11" x14ac:dyDescent="0.35">
      <c r="A5" t="s">
        <v>33</v>
      </c>
      <c r="B5" s="6">
        <f>'Data Sheet'!B84</f>
        <v>-1173</v>
      </c>
      <c r="C5" s="6">
        <f>'Data Sheet'!C84</f>
        <v>-1063</v>
      </c>
      <c r="D5" s="6">
        <f>'Data Sheet'!D84</f>
        <v>-438</v>
      </c>
      <c r="E5" s="6">
        <f>'Data Sheet'!E84</f>
        <v>1791</v>
      </c>
      <c r="F5" s="6">
        <f>'Data Sheet'!F84</f>
        <v>-1228</v>
      </c>
      <c r="G5" s="6">
        <f>'Data Sheet'!G84</f>
        <v>-1728</v>
      </c>
      <c r="H5" s="6">
        <f>'Data Sheet'!H84</f>
        <v>-1484</v>
      </c>
      <c r="I5" s="6">
        <f>'Data Sheet'!I84</f>
        <v>-5324</v>
      </c>
      <c r="J5" s="6">
        <f>'Data Sheet'!J84</f>
        <v>6473</v>
      </c>
      <c r="K5" s="6">
        <f>'Data Sheet'!K84</f>
        <v>-3676</v>
      </c>
    </row>
    <row r="6" spans="1:11" x14ac:dyDescent="0.35">
      <c r="A6" t="s">
        <v>34</v>
      </c>
      <c r="B6" s="6">
        <f>'Data Sheet'!B85</f>
        <v>-4214</v>
      </c>
      <c r="C6" s="6">
        <f>'Data Sheet'!C85</f>
        <v>-4975</v>
      </c>
      <c r="D6" s="6">
        <f>'Data Sheet'!D85</f>
        <v>-5390</v>
      </c>
      <c r="E6" s="6">
        <f>'Data Sheet'!E85</f>
        <v>-6819</v>
      </c>
      <c r="F6" s="6">
        <f>'Data Sheet'!F85</f>
        <v>-9309</v>
      </c>
      <c r="G6" s="6">
        <f>'Data Sheet'!G85</f>
        <v>-8015</v>
      </c>
      <c r="H6" s="6">
        <f>'Data Sheet'!H85</f>
        <v>-8953</v>
      </c>
      <c r="I6" s="6">
        <f>'Data Sheet'!I85</f>
        <v>-10034</v>
      </c>
      <c r="J6" s="6">
        <f>'Data Sheet'!J85</f>
        <v>-13101</v>
      </c>
      <c r="K6" s="6">
        <f>'Data Sheet'!K85</f>
        <v>-10810</v>
      </c>
    </row>
    <row r="7" spans="1:11" s="2" customFormat="1" x14ac:dyDescent="0.35">
      <c r="A7" s="2" t="s">
        <v>35</v>
      </c>
      <c r="B7" s="1">
        <f>'Data Sheet'!B86</f>
        <v>-202</v>
      </c>
      <c r="C7" s="1">
        <f>'Data Sheet'!C86</f>
        <v>21</v>
      </c>
      <c r="D7" s="1">
        <f>'Data Sheet'!D86</f>
        <v>-28</v>
      </c>
      <c r="E7" s="1">
        <f>'Data Sheet'!E86</f>
        <v>2595</v>
      </c>
      <c r="F7" s="1">
        <f>'Data Sheet'!F86</f>
        <v>-1374</v>
      </c>
      <c r="G7" s="1">
        <f>'Data Sheet'!G86</f>
        <v>-695</v>
      </c>
      <c r="H7" s="1">
        <f>'Data Sheet'!H86</f>
        <v>-446</v>
      </c>
      <c r="I7" s="1">
        <f>'Data Sheet'!I86</f>
        <v>111</v>
      </c>
      <c r="J7" s="1">
        <f>'Data Sheet'!J86</f>
        <v>5258</v>
      </c>
      <c r="K7" s="1">
        <f>'Data Sheet'!K86</f>
        <v>-3487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"/>
  <sheetViews>
    <sheetView zoomScale="120" zoomScaleNormal="120" zoomScalePageLayoutView="120" workbookViewId="0">
      <pane xSplit="1" ySplit="1" topLeftCell="B15" activePane="bottomRight" state="frozen"/>
      <selection activeCell="C4" sqref="C4"/>
      <selection pane="topRight" activeCell="C4" sqref="C4"/>
      <selection pane="bottomLeft" activeCell="C4" sqref="C4"/>
      <selection pane="bottomRight" activeCell="A18" sqref="A18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35">
      <c r="A2" s="1" t="s">
        <v>61</v>
      </c>
      <c r="B2" s="4">
        <v>2.1</v>
      </c>
      <c r="E2" s="76" t="s">
        <v>36</v>
      </c>
      <c r="F2" s="76"/>
      <c r="G2" s="76"/>
      <c r="H2" s="76"/>
      <c r="I2" s="76"/>
      <c r="J2" s="76"/>
      <c r="K2" s="7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234.95912177455864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2209</v>
      </c>
    </row>
    <row r="9" spans="1:11" x14ac:dyDescent="0.35">
      <c r="A9" s="4" t="s">
        <v>79</v>
      </c>
      <c r="B9">
        <v>519024.7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6" customFormat="1" x14ac:dyDescent="0.35">
      <c r="A18" s="4" t="s">
        <v>80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6" customFormat="1" x14ac:dyDescent="0.35">
      <c r="A19" s="4" t="s">
        <v>81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6" customFormat="1" x14ac:dyDescent="0.35">
      <c r="A20" s="4" t="s">
        <v>82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6" customFormat="1" x14ac:dyDescent="0.35">
      <c r="A21" s="4" t="s">
        <v>83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6" customFormat="1" x14ac:dyDescent="0.35">
      <c r="A22" s="4" t="s">
        <v>84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6" customFormat="1" x14ac:dyDescent="0.35">
      <c r="A23" s="4" t="s">
        <v>85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6" customFormat="1" x14ac:dyDescent="0.35">
      <c r="A24" s="4" t="s">
        <v>86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6" customFormat="1" x14ac:dyDescent="0.35">
      <c r="A25" s="6" t="s">
        <v>9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6" customFormat="1" x14ac:dyDescent="0.35">
      <c r="A26" s="6" t="s">
        <v>10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6" customFormat="1" x14ac:dyDescent="0.35">
      <c r="A27" s="6" t="s">
        <v>11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6" customFormat="1" x14ac:dyDescent="0.35">
      <c r="A28" s="6" t="s">
        <v>12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6" customFormat="1" x14ac:dyDescent="0.35">
      <c r="A29" s="6" t="s">
        <v>13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6" customFormat="1" x14ac:dyDescent="0.35">
      <c r="A30" s="6" t="s">
        <v>14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6" customFormat="1" x14ac:dyDescent="0.35">
      <c r="A31" s="6" t="s">
        <v>70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6" customFormat="1" x14ac:dyDescent="0.35">
      <c r="A32" s="6" t="s">
        <v>101</v>
      </c>
      <c r="B32" s="6">
        <f>B28+B27+B26</f>
        <v>6934</v>
      </c>
      <c r="C32" s="6">
        <f t="shared" ref="C32:K32" si="0">C28+C27+C26</f>
        <v>7852</v>
      </c>
      <c r="D32" s="6">
        <f t="shared" si="0"/>
        <v>9202</v>
      </c>
      <c r="E32" s="6">
        <f t="shared" si="0"/>
        <v>10285</v>
      </c>
      <c r="F32" s="6">
        <f t="shared" si="0"/>
        <v>11796</v>
      </c>
      <c r="G32" s="6">
        <f t="shared" si="0"/>
        <v>13076</v>
      </c>
      <c r="H32" s="6">
        <f t="shared" si="0"/>
        <v>14595</v>
      </c>
      <c r="I32" s="6">
        <f t="shared" si="0"/>
        <v>15476</v>
      </c>
      <c r="J32" s="6">
        <f t="shared" si="0"/>
        <v>16053</v>
      </c>
      <c r="K32" s="6">
        <f t="shared" si="0"/>
        <v>19962</v>
      </c>
    </row>
    <row r="33" spans="1:11" x14ac:dyDescent="0.35">
      <c r="A33" s="6" t="s">
        <v>195</v>
      </c>
      <c r="B33" s="4">
        <f>B28+B27</f>
        <v>6502</v>
      </c>
      <c r="C33" s="4">
        <f t="shared" ref="C33:K33" si="1">C28+C27</f>
        <v>7332</v>
      </c>
      <c r="D33" s="4">
        <f t="shared" si="1"/>
        <v>8637</v>
      </c>
      <c r="E33" s="4">
        <f t="shared" si="1"/>
        <v>9283</v>
      </c>
      <c r="F33" s="4">
        <f t="shared" si="1"/>
        <v>10722</v>
      </c>
      <c r="G33" s="4">
        <f t="shared" si="1"/>
        <v>11985</v>
      </c>
      <c r="H33" s="4">
        <f t="shared" si="1"/>
        <v>13458</v>
      </c>
      <c r="I33" s="4">
        <f t="shared" si="1"/>
        <v>14260</v>
      </c>
      <c r="J33" s="4">
        <f t="shared" si="1"/>
        <v>14800</v>
      </c>
      <c r="K33" s="4">
        <f t="shared" si="1"/>
        <v>18629</v>
      </c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 s="6" customFormat="1" x14ac:dyDescent="0.35">
      <c r="A43" s="6" t="s">
        <v>7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 s="6" customFormat="1" x14ac:dyDescent="0.35">
      <c r="A44" s="6" t="s">
        <v>9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 s="6" customFormat="1" x14ac:dyDescent="0.35">
      <c r="A45" s="6" t="s">
        <v>10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 s="6" customFormat="1" x14ac:dyDescent="0.35">
      <c r="A46" s="6" t="s">
        <v>11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 s="6" customFormat="1" x14ac:dyDescent="0.35">
      <c r="A47" s="6" t="s">
        <v>12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 s="6" customFormat="1" x14ac:dyDescent="0.35">
      <c r="A48" s="6" t="s">
        <v>13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 s="6" customFormat="1" x14ac:dyDescent="0.35">
      <c r="A49" s="6" t="s">
        <v>14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 x14ac:dyDescent="0.35">
      <c r="A50" s="6" t="s">
        <v>8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5">
      <c r="A58" s="6" t="s">
        <v>25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35">
      <c r="A59" s="6" t="s">
        <v>71</v>
      </c>
      <c r="B59">
        <v>277</v>
      </c>
      <c r="D59">
        <v>99</v>
      </c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35">
      <c r="A60" s="6" t="s">
        <v>72</v>
      </c>
      <c r="B60" s="61">
        <f>8685-B61</f>
        <v>2499</v>
      </c>
      <c r="C60" s="61">
        <f>10581-C61</f>
        <v>3411</v>
      </c>
      <c r="D60" s="61">
        <f>10663-D61</f>
        <v>3457</v>
      </c>
      <c r="E60" s="61">
        <f>11924-E61</f>
        <v>4389</v>
      </c>
      <c r="F60" s="61">
        <f>21066-F61</f>
        <v>12264</v>
      </c>
      <c r="G60" s="61">
        <f>20402-G61</f>
        <v>11334</v>
      </c>
      <c r="H60" s="61">
        <f>21554-H61</f>
        <v>11980</v>
      </c>
      <c r="I60" s="61">
        <f>25787-I61</f>
        <v>15301</v>
      </c>
      <c r="J60" s="61">
        <f>28813-J61</f>
        <v>17498</v>
      </c>
      <c r="K60" s="61">
        <f>29521-K61</f>
        <v>16196</v>
      </c>
    </row>
    <row r="61" spans="1:11" x14ac:dyDescent="0.35">
      <c r="A61" s="62" t="s">
        <v>187</v>
      </c>
      <c r="B61" s="63">
        <v>6186</v>
      </c>
      <c r="C61" s="63">
        <v>7170</v>
      </c>
      <c r="D61" s="63">
        <v>7206</v>
      </c>
      <c r="E61" s="63">
        <v>7535</v>
      </c>
      <c r="F61" s="63">
        <v>8802</v>
      </c>
      <c r="G61" s="63">
        <v>9068</v>
      </c>
      <c r="H61" s="63">
        <v>9574</v>
      </c>
      <c r="I61" s="63">
        <v>10486</v>
      </c>
      <c r="J61" s="63">
        <v>11315</v>
      </c>
      <c r="K61" s="63">
        <v>13325</v>
      </c>
    </row>
    <row r="62" spans="1:11" s="1" customFormat="1" x14ac:dyDescent="0.35">
      <c r="A62" s="1" t="s">
        <v>26</v>
      </c>
      <c r="B62">
        <v>15706</v>
      </c>
      <c r="C62">
        <v>17862</v>
      </c>
      <c r="D62">
        <v>18629</v>
      </c>
      <c r="E62">
        <v>20153</v>
      </c>
      <c r="F62">
        <v>68740</v>
      </c>
      <c r="G62">
        <v>70506</v>
      </c>
      <c r="H62">
        <v>73077</v>
      </c>
      <c r="I62">
        <v>78489</v>
      </c>
      <c r="J62">
        <v>79863</v>
      </c>
      <c r="K62">
        <v>79738</v>
      </c>
    </row>
    <row r="63" spans="1:11" x14ac:dyDescent="0.35">
      <c r="A63" s="6" t="s">
        <v>27</v>
      </c>
      <c r="B63">
        <v>4419</v>
      </c>
      <c r="C63">
        <v>4528</v>
      </c>
      <c r="D63">
        <v>4715</v>
      </c>
      <c r="E63">
        <v>5479</v>
      </c>
      <c r="F63">
        <v>51443</v>
      </c>
      <c r="G63">
        <v>51473</v>
      </c>
      <c r="H63">
        <v>52678</v>
      </c>
      <c r="I63">
        <v>53744</v>
      </c>
      <c r="J63">
        <v>54335</v>
      </c>
      <c r="K63">
        <v>57428</v>
      </c>
    </row>
    <row r="64" spans="1:11" x14ac:dyDescent="0.35">
      <c r="A64" s="6" t="s">
        <v>28</v>
      </c>
      <c r="B64">
        <v>229</v>
      </c>
      <c r="C64">
        <v>461</v>
      </c>
      <c r="D64">
        <v>406</v>
      </c>
      <c r="E64">
        <v>597</v>
      </c>
      <c r="F64">
        <v>745</v>
      </c>
      <c r="G64">
        <v>1313</v>
      </c>
      <c r="H64">
        <v>1132</v>
      </c>
      <c r="I64">
        <v>1025</v>
      </c>
      <c r="J64">
        <v>1009</v>
      </c>
      <c r="K64">
        <v>880</v>
      </c>
    </row>
    <row r="65" spans="1:11" x14ac:dyDescent="0.35">
      <c r="A65" s="6" t="s">
        <v>29</v>
      </c>
      <c r="B65">
        <v>3794</v>
      </c>
      <c r="C65">
        <v>2873</v>
      </c>
      <c r="D65">
        <v>2716</v>
      </c>
      <c r="E65">
        <v>1255</v>
      </c>
      <c r="F65">
        <v>2709</v>
      </c>
      <c r="G65">
        <v>3521</v>
      </c>
      <c r="H65">
        <v>2882</v>
      </c>
      <c r="I65">
        <v>4625</v>
      </c>
      <c r="J65">
        <v>3810</v>
      </c>
      <c r="K65">
        <v>4359</v>
      </c>
    </row>
    <row r="66" spans="1:11" x14ac:dyDescent="0.35">
      <c r="A66" s="6" t="s">
        <v>73</v>
      </c>
      <c r="B66">
        <v>7264</v>
      </c>
      <c r="C66">
        <v>10000</v>
      </c>
      <c r="D66">
        <v>10792</v>
      </c>
      <c r="E66">
        <v>12822</v>
      </c>
      <c r="F66">
        <v>13843</v>
      </c>
      <c r="G66">
        <v>14199</v>
      </c>
      <c r="H66">
        <v>16385</v>
      </c>
      <c r="I66">
        <v>19095</v>
      </c>
      <c r="J66">
        <v>20709</v>
      </c>
      <c r="K66">
        <v>17071</v>
      </c>
    </row>
    <row r="67" spans="1:11" s="1" customFormat="1" x14ac:dyDescent="0.35">
      <c r="A67" s="1" t="s">
        <v>26</v>
      </c>
      <c r="B67">
        <v>15706</v>
      </c>
      <c r="C67">
        <v>17862</v>
      </c>
      <c r="D67">
        <v>18629</v>
      </c>
      <c r="E67">
        <v>20153</v>
      </c>
      <c r="F67">
        <v>68740</v>
      </c>
      <c r="G67">
        <v>70506</v>
      </c>
      <c r="H67">
        <v>73077</v>
      </c>
      <c r="I67">
        <v>78489</v>
      </c>
      <c r="J67">
        <v>79863</v>
      </c>
      <c r="K67">
        <v>79738</v>
      </c>
    </row>
    <row r="68" spans="1:11" s="6" customFormat="1" x14ac:dyDescent="0.35">
      <c r="A68" s="6" t="s">
        <v>78</v>
      </c>
      <c r="B68">
        <v>1085</v>
      </c>
      <c r="C68">
        <v>1310</v>
      </c>
      <c r="D68">
        <v>1816</v>
      </c>
      <c r="E68">
        <v>1149</v>
      </c>
      <c r="F68">
        <v>1758</v>
      </c>
      <c r="G68">
        <v>2236</v>
      </c>
      <c r="H68">
        <v>3079</v>
      </c>
      <c r="I68">
        <v>2997</v>
      </c>
      <c r="J68">
        <v>3819</v>
      </c>
      <c r="K68">
        <v>3379</v>
      </c>
    </row>
    <row r="69" spans="1:11" x14ac:dyDescent="0.35">
      <c r="A69" s="6" t="s">
        <v>45</v>
      </c>
      <c r="B69">
        <v>2541</v>
      </c>
      <c r="C69">
        <v>2513</v>
      </c>
      <c r="D69">
        <v>2574</v>
      </c>
      <c r="E69">
        <v>2767</v>
      </c>
      <c r="F69">
        <v>3579</v>
      </c>
      <c r="G69">
        <v>4096</v>
      </c>
      <c r="H69">
        <v>4251</v>
      </c>
      <c r="I69">
        <v>4022</v>
      </c>
      <c r="J69">
        <v>4415</v>
      </c>
      <c r="K69">
        <v>4789</v>
      </c>
    </row>
    <row r="70" spans="1:11" x14ac:dyDescent="0.35">
      <c r="A70" s="4" t="s">
        <v>87</v>
      </c>
      <c r="B70">
        <v>1828</v>
      </c>
      <c r="C70">
        <v>3485</v>
      </c>
      <c r="D70">
        <v>3757</v>
      </c>
      <c r="E70">
        <v>5113</v>
      </c>
      <c r="F70">
        <v>4471</v>
      </c>
      <c r="G70">
        <v>3846</v>
      </c>
      <c r="H70">
        <v>4678</v>
      </c>
      <c r="I70">
        <v>7559</v>
      </c>
      <c r="J70">
        <v>7554</v>
      </c>
      <c r="K70">
        <v>3248</v>
      </c>
    </row>
    <row r="71" spans="1:11" x14ac:dyDescent="0.35">
      <c r="A71" s="4" t="s">
        <v>74</v>
      </c>
      <c r="B71">
        <v>2164349639</v>
      </c>
      <c r="C71">
        <v>2164528777</v>
      </c>
      <c r="D71">
        <v>2164704405</v>
      </c>
      <c r="E71">
        <v>2164704405</v>
      </c>
      <c r="F71">
        <v>2349567819</v>
      </c>
      <c r="G71">
        <v>2349591262</v>
      </c>
      <c r="H71">
        <v>2349591262</v>
      </c>
      <c r="I71">
        <v>2349591262</v>
      </c>
      <c r="J71">
        <v>2349591262</v>
      </c>
      <c r="K71">
        <v>2349591262</v>
      </c>
    </row>
    <row r="72" spans="1:11" x14ac:dyDescent="0.35">
      <c r="A72" s="4" t="s">
        <v>75</v>
      </c>
    </row>
    <row r="73" spans="1:11" x14ac:dyDescent="0.35">
      <c r="A73" s="4" t="s">
        <v>88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35">
      <c r="B74" s="4">
        <f>B66-B75</f>
        <v>1810</v>
      </c>
    </row>
    <row r="75" spans="1:11" x14ac:dyDescent="0.35">
      <c r="A75" s="6"/>
      <c r="B75" s="4">
        <f>SUM(B68:B70)</f>
        <v>5454</v>
      </c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6"/>
    </row>
    <row r="81" spans="1:11" x14ac:dyDescent="0.35">
      <c r="A81" s="1" t="s">
        <v>41</v>
      </c>
    </row>
    <row r="82" spans="1:11" s="18" customFormat="1" x14ac:dyDescent="0.35">
      <c r="A82" s="17" t="s">
        <v>38</v>
      </c>
      <c r="B82" s="12">
        <v>42825</v>
      </c>
      <c r="C82" s="12">
        <v>43190</v>
      </c>
      <c r="D82" s="12">
        <v>43555</v>
      </c>
      <c r="E82" s="12">
        <v>43921</v>
      </c>
      <c r="F82" s="12">
        <v>44286</v>
      </c>
      <c r="G82" s="12">
        <v>44651</v>
      </c>
      <c r="H82" s="12">
        <v>45016</v>
      </c>
      <c r="I82" s="12">
        <v>45382</v>
      </c>
      <c r="J82" s="12">
        <v>45747</v>
      </c>
      <c r="K82" s="12">
        <v>46112</v>
      </c>
    </row>
    <row r="83" spans="1:11" s="1" customFormat="1" x14ac:dyDescent="0.35">
      <c r="A83" s="6" t="s">
        <v>32</v>
      </c>
      <c r="B83">
        <v>5185</v>
      </c>
      <c r="C83">
        <v>6059</v>
      </c>
      <c r="D83">
        <v>5800</v>
      </c>
      <c r="E83">
        <v>7623</v>
      </c>
      <c r="F83">
        <v>9163</v>
      </c>
      <c r="G83">
        <v>9048</v>
      </c>
      <c r="H83">
        <v>9991</v>
      </c>
      <c r="I83">
        <v>15469</v>
      </c>
      <c r="J83">
        <v>11886</v>
      </c>
      <c r="K83">
        <v>10999</v>
      </c>
    </row>
    <row r="84" spans="1:11" s="6" customFormat="1" x14ac:dyDescent="0.35">
      <c r="A84" s="6" t="s">
        <v>33</v>
      </c>
      <c r="B84">
        <v>-1173</v>
      </c>
      <c r="C84">
        <v>-1063</v>
      </c>
      <c r="D84">
        <v>-438</v>
      </c>
      <c r="E84">
        <v>1791</v>
      </c>
      <c r="F84">
        <v>-1228</v>
      </c>
      <c r="G84">
        <v>-1728</v>
      </c>
      <c r="H84">
        <v>-1484</v>
      </c>
      <c r="I84">
        <v>-5324</v>
      </c>
      <c r="J84">
        <v>6473</v>
      </c>
      <c r="K84">
        <v>-3676</v>
      </c>
    </row>
    <row r="85" spans="1:11" s="6" customFormat="1" x14ac:dyDescent="0.35">
      <c r="A85" s="6" t="s">
        <v>34</v>
      </c>
      <c r="B85">
        <v>-4214</v>
      </c>
      <c r="C85">
        <v>-4975</v>
      </c>
      <c r="D85">
        <v>-5390</v>
      </c>
      <c r="E85">
        <v>-6819</v>
      </c>
      <c r="F85">
        <v>-9309</v>
      </c>
      <c r="G85">
        <v>-8015</v>
      </c>
      <c r="H85">
        <v>-8953</v>
      </c>
      <c r="I85">
        <v>-10034</v>
      </c>
      <c r="J85">
        <v>-13101</v>
      </c>
      <c r="K85">
        <v>-10810</v>
      </c>
    </row>
    <row r="86" spans="1:11" s="1" customFormat="1" x14ac:dyDescent="0.35">
      <c r="A86" s="6" t="s">
        <v>35</v>
      </c>
      <c r="B86">
        <v>-202</v>
      </c>
      <c r="C86">
        <v>21</v>
      </c>
      <c r="D86">
        <v>-28</v>
      </c>
      <c r="E86">
        <v>2595</v>
      </c>
      <c r="F86">
        <v>-1374</v>
      </c>
      <c r="G86">
        <v>-695</v>
      </c>
      <c r="H86">
        <v>-446</v>
      </c>
      <c r="I86">
        <v>111</v>
      </c>
      <c r="J86">
        <v>5258</v>
      </c>
      <c r="K86">
        <v>-3487</v>
      </c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x14ac:dyDescent="0.35">
      <c r="A90" s="6"/>
    </row>
    <row r="91" spans="1:11" s="1" customFormat="1" x14ac:dyDescent="0.35">
      <c r="A91" s="1" t="s">
        <v>77</v>
      </c>
      <c r="B91">
        <v>872.61</v>
      </c>
      <c r="C91">
        <v>1276.1099999999999</v>
      </c>
      <c r="D91">
        <v>1633.53</v>
      </c>
      <c r="E91">
        <v>2199.83</v>
      </c>
      <c r="F91">
        <v>2327.12</v>
      </c>
      <c r="G91">
        <v>1960.7</v>
      </c>
      <c r="H91">
        <v>2450.44</v>
      </c>
      <c r="I91">
        <v>2167.14</v>
      </c>
      <c r="J91">
        <v>2161.88</v>
      </c>
      <c r="K91">
        <v>2055.1999999999998</v>
      </c>
    </row>
    <row r="93" spans="1:11" s="1" customFormat="1" x14ac:dyDescent="0.35">
      <c r="A93" s="1" t="s">
        <v>76</v>
      </c>
    </row>
    <row r="94" spans="1:11" x14ac:dyDescent="0.35">
      <c r="A94" s="4" t="s">
        <v>89</v>
      </c>
      <c r="B94" s="24">
        <v>216.43</v>
      </c>
      <c r="C94" s="24">
        <v>216.45</v>
      </c>
      <c r="D94" s="24">
        <v>216.47</v>
      </c>
      <c r="E94" s="24">
        <v>216.48</v>
      </c>
      <c r="F94" s="24">
        <v>234.96</v>
      </c>
      <c r="G94" s="24">
        <v>234.96</v>
      </c>
      <c r="H94" s="24">
        <v>234.96</v>
      </c>
      <c r="I94" s="24">
        <v>234.96</v>
      </c>
      <c r="J94" s="24">
        <v>234.96</v>
      </c>
      <c r="K94" s="24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8B11-4A84-4F1B-82BC-6ADA97A8F91C}">
  <dimension ref="A2:Q166"/>
  <sheetViews>
    <sheetView showGridLines="0" tabSelected="1" zoomScale="60" workbookViewId="0">
      <pane ySplit="3" topLeftCell="A4" activePane="bottomLeft" state="frozen"/>
      <selection pane="bottomLeft" activeCell="S69" sqref="S69"/>
    </sheetView>
  </sheetViews>
  <sheetFormatPr defaultRowHeight="14.5" x14ac:dyDescent="0.35"/>
  <cols>
    <col min="1" max="1" width="2.1796875" customWidth="1"/>
    <col min="2" max="2" width="32.36328125" bestFit="1" customWidth="1"/>
    <col min="3" max="12" width="11" bestFit="1" customWidth="1"/>
    <col min="13" max="17" width="11.26953125" bestFit="1" customWidth="1"/>
  </cols>
  <sheetData>
    <row r="2" spans="1:17" x14ac:dyDescent="0.35">
      <c r="B2" s="74" t="str">
        <f>_xlfn.CONCAT("Historical Financial Statement of ",'Data Sheet'!B1)</f>
        <v>Historical Financial Statement of HINDUSTAN UNILEVER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x14ac:dyDescent="0.35">
      <c r="B3" s="26" t="s">
        <v>93</v>
      </c>
      <c r="C3" s="27">
        <f>'Data Sheet'!B16</f>
        <v>42825</v>
      </c>
      <c r="D3" s="27">
        <f>'Data Sheet'!C16</f>
        <v>43190</v>
      </c>
      <c r="E3" s="27">
        <f>'Data Sheet'!D16</f>
        <v>43555</v>
      </c>
      <c r="F3" s="27">
        <f>'Data Sheet'!E16</f>
        <v>43921</v>
      </c>
      <c r="G3" s="27">
        <f>'Data Sheet'!F16</f>
        <v>44286</v>
      </c>
      <c r="H3" s="27">
        <f>'Data Sheet'!G16</f>
        <v>44651</v>
      </c>
      <c r="I3" s="27">
        <f>'Data Sheet'!H16</f>
        <v>45016</v>
      </c>
      <c r="J3" s="27">
        <f>'Data Sheet'!I16</f>
        <v>45382</v>
      </c>
      <c r="K3" s="27">
        <f>'Data Sheet'!J16</f>
        <v>45747</v>
      </c>
      <c r="L3" s="27">
        <f>'Data Sheet'!K16</f>
        <v>46112</v>
      </c>
      <c r="M3" s="36">
        <f>'Data Sheet'!K16+365</f>
        <v>46477</v>
      </c>
      <c r="N3" s="36">
        <f>M3+364</f>
        <v>46841</v>
      </c>
      <c r="O3" s="36">
        <f>N3+364</f>
        <v>47205</v>
      </c>
      <c r="P3" s="36">
        <f>O3+364</f>
        <v>47569</v>
      </c>
      <c r="Q3" s="36">
        <f>P3+364</f>
        <v>47933</v>
      </c>
    </row>
    <row r="4" spans="1:17" x14ac:dyDescent="0.35">
      <c r="B4" s="20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7" x14ac:dyDescent="0.35">
      <c r="A5" t="s">
        <v>94</v>
      </c>
      <c r="B5" s="42" t="s">
        <v>177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x14ac:dyDescent="0.35">
      <c r="B6" s="20" t="s">
        <v>95</v>
      </c>
      <c r="C6" s="29">
        <f>'Data Sheet'!B17</f>
        <v>33162</v>
      </c>
      <c r="D6" s="29">
        <f>'Data Sheet'!C17</f>
        <v>35545</v>
      </c>
      <c r="E6" s="29">
        <f>'Data Sheet'!D17</f>
        <v>39310</v>
      </c>
      <c r="F6" s="29">
        <f>'Data Sheet'!E17</f>
        <v>39783</v>
      </c>
      <c r="G6" s="29">
        <f>'Data Sheet'!F17</f>
        <v>47028</v>
      </c>
      <c r="H6" s="29">
        <f>'Data Sheet'!G17</f>
        <v>52446</v>
      </c>
      <c r="I6" s="29">
        <f>'Data Sheet'!H17</f>
        <v>60580</v>
      </c>
      <c r="J6" s="29">
        <f>'Data Sheet'!I17</f>
        <v>61896</v>
      </c>
      <c r="K6" s="29">
        <f>'Data Sheet'!J17</f>
        <v>61328</v>
      </c>
      <c r="L6" s="29">
        <f>'Data Sheet'!K17</f>
        <v>64468</v>
      </c>
      <c r="M6" s="38">
        <f>FORECAST(M$3,$C6:$L6,$C$3:$L$3)</f>
        <v>70982.404077328276</v>
      </c>
      <c r="N6" s="38">
        <f>FORECAST(N$3,$C6:$L6,$C$3:$L$3)</f>
        <v>74865.760156067379</v>
      </c>
      <c r="O6" s="38">
        <f>FORECAST(O$3,$C6:$L6,$C$3:$L$3)</f>
        <v>78749.116234806483</v>
      </c>
      <c r="P6" s="38">
        <f>FORECAST(P$3,$C6:$L6,$C$3:$L$3)</f>
        <v>82632.472313545586</v>
      </c>
      <c r="Q6" s="38">
        <f>FORECAST(Q$3,$C6:$L6,$C$3:$L$3)</f>
        <v>86515.828392284689</v>
      </c>
    </row>
    <row r="7" spans="1:17" x14ac:dyDescent="0.35">
      <c r="B7" s="30" t="s">
        <v>96</v>
      </c>
      <c r="C7" s="31"/>
      <c r="D7" s="32">
        <f>(D6-C6)/C6</f>
        <v>7.1859357095470713E-2</v>
      </c>
      <c r="E7" s="32">
        <f t="shared" ref="E7:L7" si="0">(E6-D6)/D6</f>
        <v>0.10592207061471375</v>
      </c>
      <c r="F7" s="32">
        <f t="shared" si="0"/>
        <v>1.2032561689137624E-2</v>
      </c>
      <c r="G7" s="32">
        <f t="shared" si="0"/>
        <v>0.18211296282331649</v>
      </c>
      <c r="H7" s="32">
        <f t="shared" si="0"/>
        <v>0.11520796121459556</v>
      </c>
      <c r="I7" s="32">
        <f t="shared" si="0"/>
        <v>0.15509285741524617</v>
      </c>
      <c r="J7" s="32">
        <f t="shared" si="0"/>
        <v>2.1723341036645756E-2</v>
      </c>
      <c r="K7" s="32">
        <f t="shared" si="0"/>
        <v>-9.1766834690448496E-3</v>
      </c>
      <c r="L7" s="32">
        <f t="shared" si="0"/>
        <v>5.1200104356900603E-2</v>
      </c>
      <c r="M7" s="32">
        <f>(M6-L6)/L6</f>
        <v>0.10104864548812241</v>
      </c>
      <c r="N7" s="32">
        <f>(N6-M6)/M6</f>
        <v>5.4708714493645109E-2</v>
      </c>
      <c r="O7" s="32">
        <f>(O6-N6)/N6</f>
        <v>5.1870922977924012E-2</v>
      </c>
      <c r="P7" s="32">
        <f>(P6-O6)/O6</f>
        <v>4.9313011553807011E-2</v>
      </c>
      <c r="Q7" s="32">
        <f>(Q6-P6)/P6</f>
        <v>4.6995520889219738E-2</v>
      </c>
    </row>
    <row r="8" spans="1:17" x14ac:dyDescent="0.35">
      <c r="B8" s="20"/>
      <c r="C8" s="25"/>
      <c r="D8" s="25"/>
      <c r="E8" s="25"/>
      <c r="F8" s="25"/>
      <c r="G8" s="25"/>
      <c r="H8" s="25"/>
      <c r="I8" s="25"/>
      <c r="J8" s="25"/>
      <c r="K8" s="25"/>
      <c r="L8" s="25"/>
      <c r="M8" s="39"/>
      <c r="N8" s="39"/>
      <c r="O8" s="39"/>
      <c r="P8" s="39"/>
      <c r="Q8" s="39"/>
    </row>
    <row r="9" spans="1:17" x14ac:dyDescent="0.35">
      <c r="B9" s="20" t="s">
        <v>97</v>
      </c>
      <c r="C9" s="29">
        <f>SUM('Data Sheet'!B20:B22,'Data Sheet'!B18) - (1*'Data Sheet'!B19)</f>
        <v>18675</v>
      </c>
      <c r="D9" s="29">
        <f>SUM('Data Sheet'!C20:C22,'Data Sheet'!C18) - (1*'Data Sheet'!C19)</f>
        <v>19314</v>
      </c>
      <c r="E9" s="29">
        <f>SUM('Data Sheet'!D20:D22,'Data Sheet'!D18) - (1*'Data Sheet'!D19)</f>
        <v>21081</v>
      </c>
      <c r="F9" s="29">
        <f>SUM('Data Sheet'!E20:E22,'Data Sheet'!E18) - (1*'Data Sheet'!E19)</f>
        <v>20614</v>
      </c>
      <c r="G9" s="29">
        <f>SUM('Data Sheet'!F20:F22,'Data Sheet'!F18) - (1*'Data Sheet'!F19)</f>
        <v>25301</v>
      </c>
      <c r="H9" s="29">
        <f>SUM('Data Sheet'!G20:G22,'Data Sheet'!G18) - (1*'Data Sheet'!G19)</f>
        <v>29066</v>
      </c>
      <c r="I9" s="29">
        <f>SUM('Data Sheet'!H20:H22,'Data Sheet'!H18) - (1*'Data Sheet'!H19)</f>
        <v>35381</v>
      </c>
      <c r="J9" s="29">
        <f>SUM('Data Sheet'!I20:I22,'Data Sheet'!I18) - (1*'Data Sheet'!I19)</f>
        <v>33651</v>
      </c>
      <c r="K9" s="29">
        <f>SUM('Data Sheet'!J20:J22,'Data Sheet'!J18) - (1*'Data Sheet'!J19)</f>
        <v>33519</v>
      </c>
      <c r="L9" s="29">
        <f>SUM('Data Sheet'!K20:K22,'Data Sheet'!K18) - (1*'Data Sheet'!K19)</f>
        <v>35634</v>
      </c>
      <c r="M9" s="38">
        <f t="shared" ref="M9:Q10" si="1">FORECAST(M$3,$C9:$L9,$C$3:$L$3)</f>
        <v>39320.140531991463</v>
      </c>
      <c r="N9" s="38">
        <f t="shared" si="1"/>
        <v>41512.393832287606</v>
      </c>
      <c r="O9" s="38">
        <f t="shared" si="1"/>
        <v>43704.647132583807</v>
      </c>
      <c r="P9" s="38">
        <f t="shared" si="1"/>
        <v>45896.900432880007</v>
      </c>
      <c r="Q9" s="38">
        <f t="shared" si="1"/>
        <v>48089.153733176208</v>
      </c>
    </row>
    <row r="10" spans="1:17" x14ac:dyDescent="0.35">
      <c r="B10" s="33" t="s">
        <v>98</v>
      </c>
      <c r="C10" s="34">
        <f>C6-C9</f>
        <v>14487</v>
      </c>
      <c r="D10" s="34">
        <f t="shared" ref="D10:L10" si="2">D6-D9</f>
        <v>16231</v>
      </c>
      <c r="E10" s="34">
        <f t="shared" si="2"/>
        <v>18229</v>
      </c>
      <c r="F10" s="34">
        <f t="shared" si="2"/>
        <v>19169</v>
      </c>
      <c r="G10" s="34">
        <f t="shared" si="2"/>
        <v>21727</v>
      </c>
      <c r="H10" s="34">
        <f t="shared" si="2"/>
        <v>23380</v>
      </c>
      <c r="I10" s="34">
        <f t="shared" si="2"/>
        <v>25199</v>
      </c>
      <c r="J10" s="34">
        <f t="shared" si="2"/>
        <v>28245</v>
      </c>
      <c r="K10" s="34">
        <f t="shared" si="2"/>
        <v>27809</v>
      </c>
      <c r="L10" s="34">
        <f t="shared" si="2"/>
        <v>28834</v>
      </c>
      <c r="M10" s="40">
        <f t="shared" si="1"/>
        <v>31662.263545336842</v>
      </c>
      <c r="N10" s="40">
        <f t="shared" si="1"/>
        <v>33353.366323779774</v>
      </c>
      <c r="O10" s="40">
        <f t="shared" si="1"/>
        <v>35044.469102222676</v>
      </c>
      <c r="P10" s="40">
        <f t="shared" si="1"/>
        <v>36735.571880665608</v>
      </c>
      <c r="Q10" s="40">
        <f t="shared" si="1"/>
        <v>38426.674659108539</v>
      </c>
    </row>
    <row r="11" spans="1:17" x14ac:dyDescent="0.35">
      <c r="B11" s="30" t="s">
        <v>99</v>
      </c>
      <c r="C11" s="37">
        <f>(C10/C6)</f>
        <v>0.43685543694590195</v>
      </c>
      <c r="D11" s="37">
        <f t="shared" ref="D11:Q11" si="3">(D10/D6)</f>
        <v>0.45663243775495849</v>
      </c>
      <c r="E11" s="37">
        <f t="shared" si="3"/>
        <v>0.46372424319511574</v>
      </c>
      <c r="F11" s="37">
        <f t="shared" si="3"/>
        <v>0.48183897644722617</v>
      </c>
      <c r="G11" s="37">
        <f t="shared" si="3"/>
        <v>0.46200136089138388</v>
      </c>
      <c r="H11" s="37">
        <f t="shared" si="3"/>
        <v>0.44579186210578498</v>
      </c>
      <c r="I11" s="37">
        <f t="shared" si="3"/>
        <v>0.41596236381644108</v>
      </c>
      <c r="J11" s="37">
        <f t="shared" si="3"/>
        <v>0.45632997285769678</v>
      </c>
      <c r="K11" s="37">
        <f t="shared" si="3"/>
        <v>0.45344703887294546</v>
      </c>
      <c r="L11" s="37">
        <f t="shared" si="3"/>
        <v>0.44726065644971147</v>
      </c>
      <c r="M11" s="37">
        <f t="shared" si="3"/>
        <v>0.44605792036634817</v>
      </c>
      <c r="N11" s="37">
        <f t="shared" si="3"/>
        <v>0.4455089516789833</v>
      </c>
      <c r="O11" s="37">
        <f t="shared" si="3"/>
        <v>0.44501412559006343</v>
      </c>
      <c r="P11" s="37">
        <f t="shared" si="3"/>
        <v>0.4445658087207407</v>
      </c>
      <c r="Q11" s="37">
        <f t="shared" si="3"/>
        <v>0.44415773822186916</v>
      </c>
    </row>
    <row r="12" spans="1:17" x14ac:dyDescent="0.35">
      <c r="B12" s="20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8"/>
      <c r="N12" s="38"/>
      <c r="O12" s="38"/>
      <c r="P12" s="38"/>
      <c r="Q12" s="38"/>
    </row>
    <row r="13" spans="1:17" x14ac:dyDescent="0.35">
      <c r="B13" s="20" t="s">
        <v>100</v>
      </c>
      <c r="C13" s="29">
        <f>SUM('Data Sheet'!B23:B24)</f>
        <v>8159</v>
      </c>
      <c r="D13" s="29">
        <f>SUM('Data Sheet'!C23:C24)</f>
        <v>8732</v>
      </c>
      <c r="E13" s="29">
        <f>SUM('Data Sheet'!D23:D24)</f>
        <v>9349</v>
      </c>
      <c r="F13" s="29">
        <f>SUM('Data Sheet'!E23:E24)</f>
        <v>9308</v>
      </c>
      <c r="G13" s="29">
        <f>SUM('Data Sheet'!F23:F24)</f>
        <v>10101</v>
      </c>
      <c r="H13" s="29">
        <f>SUM('Data Sheet'!G23:G24)</f>
        <v>10523</v>
      </c>
      <c r="I13" s="29">
        <f>SUM('Data Sheet'!H23:H24)</f>
        <v>11052</v>
      </c>
      <c r="J13" s="29">
        <f>SUM('Data Sheet'!I23:I24)</f>
        <v>13586</v>
      </c>
      <c r="K13" s="29">
        <f>SUM('Data Sheet'!J23:J24)</f>
        <v>13111</v>
      </c>
      <c r="L13" s="29">
        <f>SUM('Data Sheet'!K23:K24)</f>
        <v>13795</v>
      </c>
      <c r="M13" s="38">
        <f>FORECAST(M$3,$C13:$L13,$C$3:$L$3)</f>
        <v>14378.168961863426</v>
      </c>
      <c r="N13" s="38">
        <f>FORECAST(N$3,$C13:$L13,$C$3:$L$3)</f>
        <v>15031.786637799829</v>
      </c>
      <c r="O13" s="38">
        <f>FORECAST(O$3,$C13:$L13,$C$3:$L$3)</f>
        <v>15685.404313736246</v>
      </c>
      <c r="P13" s="38">
        <f>FORECAST(P$3,$C13:$L13,$C$3:$L$3)</f>
        <v>16339.021989672648</v>
      </c>
      <c r="Q13" s="38">
        <f>FORECAST(Q$3,$C13:$L13,$C$3:$L$3)</f>
        <v>16992.639665609066</v>
      </c>
    </row>
    <row r="14" spans="1:17" x14ac:dyDescent="0.35">
      <c r="B14" s="2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41"/>
      <c r="N14" s="41"/>
      <c r="O14" s="41"/>
      <c r="P14" s="41"/>
      <c r="Q14" s="41"/>
    </row>
    <row r="15" spans="1:17" x14ac:dyDescent="0.35">
      <c r="B15" s="33" t="s">
        <v>101</v>
      </c>
      <c r="C15" s="35">
        <f>C10-C13</f>
        <v>6328</v>
      </c>
      <c r="D15" s="35">
        <f t="shared" ref="D15:L15" si="4">D10-D13</f>
        <v>7499</v>
      </c>
      <c r="E15" s="35">
        <f t="shared" si="4"/>
        <v>8880</v>
      </c>
      <c r="F15" s="35">
        <f t="shared" si="4"/>
        <v>9861</v>
      </c>
      <c r="G15" s="35">
        <f t="shared" si="4"/>
        <v>11626</v>
      </c>
      <c r="H15" s="35">
        <f t="shared" si="4"/>
        <v>12857</v>
      </c>
      <c r="I15" s="35">
        <f t="shared" si="4"/>
        <v>14147</v>
      </c>
      <c r="J15" s="35">
        <f t="shared" si="4"/>
        <v>14659</v>
      </c>
      <c r="K15" s="35">
        <f t="shared" si="4"/>
        <v>14698</v>
      </c>
      <c r="L15" s="35">
        <f t="shared" si="4"/>
        <v>15039</v>
      </c>
      <c r="M15" s="40">
        <f>FORECAST(M$3,$C15:$L15,$C$3:$L$3)</f>
        <v>17284.09458347343</v>
      </c>
      <c r="N15" s="40">
        <f>FORECAST(N$3,$C15:$L15,$C$3:$L$3)</f>
        <v>18321.57968597993</v>
      </c>
      <c r="O15" s="40">
        <f>FORECAST(O$3,$C15:$L15,$C$3:$L$3)</f>
        <v>19359.06478848643</v>
      </c>
      <c r="P15" s="40">
        <f>FORECAST(P$3,$C15:$L15,$C$3:$L$3)</f>
        <v>20396.549890992959</v>
      </c>
      <c r="Q15" s="40">
        <f>FORECAST(Q$3,$C15:$L15,$C$3:$L$3)</f>
        <v>21434.034993499459</v>
      </c>
    </row>
    <row r="16" spans="1:17" x14ac:dyDescent="0.35">
      <c r="B16" s="30" t="s">
        <v>102</v>
      </c>
      <c r="C16" s="37">
        <f>C15/C6</f>
        <v>0.1908208190097099</v>
      </c>
      <c r="D16" s="37">
        <f t="shared" ref="D16:L16" si="5">D15/D6</f>
        <v>0.21097200731467156</v>
      </c>
      <c r="E16" s="37">
        <f t="shared" si="5"/>
        <v>0.2258967183922666</v>
      </c>
      <c r="F16" s="37">
        <f t="shared" si="5"/>
        <v>0.24786969308498605</v>
      </c>
      <c r="G16" s="37">
        <f t="shared" si="5"/>
        <v>0.24721442544866887</v>
      </c>
      <c r="H16" s="37">
        <f t="shared" si="5"/>
        <v>0.24514738969606834</v>
      </c>
      <c r="I16" s="37">
        <f t="shared" si="5"/>
        <v>0.23352591614394189</v>
      </c>
      <c r="J16" s="37">
        <f t="shared" si="5"/>
        <v>0.23683275171255008</v>
      </c>
      <c r="K16" s="37">
        <f t="shared" si="5"/>
        <v>0.23966214453430734</v>
      </c>
      <c r="L16" s="37">
        <f t="shared" si="5"/>
        <v>0.23327852578023206</v>
      </c>
      <c r="M16" s="37">
        <f>M15/M6</f>
        <v>0.24349829803797751</v>
      </c>
      <c r="N16" s="37">
        <f>N15/N6</f>
        <v>0.24472575510869352</v>
      </c>
      <c r="O16" s="37">
        <f>O15/O6</f>
        <v>0.2458321529699895</v>
      </c>
      <c r="P16" s="37">
        <f>P15/P6</f>
        <v>0.24683455934368118</v>
      </c>
      <c r="Q16" s="37">
        <f>Q15/Q6</f>
        <v>0.24774697753932509</v>
      </c>
    </row>
    <row r="17" spans="2:17" x14ac:dyDescent="0.35">
      <c r="B17" s="2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38"/>
      <c r="N17" s="38"/>
      <c r="O17" s="38"/>
      <c r="P17" s="38"/>
      <c r="Q17" s="38"/>
    </row>
    <row r="18" spans="2:17" x14ac:dyDescent="0.35">
      <c r="B18" s="20" t="s">
        <v>103</v>
      </c>
      <c r="C18" s="29">
        <f>SUM('Data Sheet'!B26)</f>
        <v>432</v>
      </c>
      <c r="D18" s="29">
        <f>SUM('Data Sheet'!C26)</f>
        <v>520</v>
      </c>
      <c r="E18" s="29">
        <f>SUM('Data Sheet'!D26)</f>
        <v>565</v>
      </c>
      <c r="F18" s="29">
        <f>SUM('Data Sheet'!E26)</f>
        <v>1002</v>
      </c>
      <c r="G18" s="29">
        <f>SUM('Data Sheet'!F26)</f>
        <v>1074</v>
      </c>
      <c r="H18" s="29">
        <f>SUM('Data Sheet'!G26)</f>
        <v>1091</v>
      </c>
      <c r="I18" s="29">
        <f>SUM('Data Sheet'!H26)</f>
        <v>1137</v>
      </c>
      <c r="J18" s="29">
        <f>SUM('Data Sheet'!I26)</f>
        <v>1216</v>
      </c>
      <c r="K18" s="29">
        <f>SUM('Data Sheet'!J26)</f>
        <v>1253</v>
      </c>
      <c r="L18" s="29">
        <f>SUM('Data Sheet'!K26)</f>
        <v>1333</v>
      </c>
      <c r="M18" s="38">
        <f>FORECAST(M$3,$C18:$L18,$C$3:$L$3)</f>
        <v>1526.1117608362074</v>
      </c>
      <c r="N18" s="38">
        <f>FORECAST(N$3,$C18:$L18,$C$3:$L$3)</f>
        <v>1628.291238528207</v>
      </c>
      <c r="O18" s="38">
        <f>FORECAST(O$3,$C18:$L18,$C$3:$L$3)</f>
        <v>1730.4707162202048</v>
      </c>
      <c r="P18" s="38">
        <f>FORECAST(P$3,$C18:$L18,$C$3:$L$3)</f>
        <v>1832.6501939122045</v>
      </c>
      <c r="Q18" s="38">
        <f>FORECAST(Q$3,$C18:$L18,$C$3:$L$3)</f>
        <v>1934.8296716042023</v>
      </c>
    </row>
    <row r="19" spans="2:17" x14ac:dyDescent="0.35">
      <c r="B19" s="2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41"/>
      <c r="N19" s="41"/>
      <c r="O19" s="41"/>
      <c r="P19" s="41"/>
      <c r="Q19" s="41"/>
    </row>
    <row r="20" spans="2:17" x14ac:dyDescent="0.35">
      <c r="B20" s="33" t="s">
        <v>104</v>
      </c>
      <c r="C20" s="35">
        <f>C15-C18</f>
        <v>5896</v>
      </c>
      <c r="D20" s="35">
        <f t="shared" ref="D20:L20" si="6">D15-D18</f>
        <v>6979</v>
      </c>
      <c r="E20" s="35">
        <f t="shared" si="6"/>
        <v>8315</v>
      </c>
      <c r="F20" s="35">
        <f t="shared" si="6"/>
        <v>8859</v>
      </c>
      <c r="G20" s="35">
        <f t="shared" si="6"/>
        <v>10552</v>
      </c>
      <c r="H20" s="35">
        <f t="shared" si="6"/>
        <v>11766</v>
      </c>
      <c r="I20" s="35">
        <f t="shared" si="6"/>
        <v>13010</v>
      </c>
      <c r="J20" s="35">
        <f t="shared" si="6"/>
        <v>13443</v>
      </c>
      <c r="K20" s="35">
        <f t="shared" si="6"/>
        <v>13445</v>
      </c>
      <c r="L20" s="35">
        <f t="shared" si="6"/>
        <v>13706</v>
      </c>
      <c r="M20" s="40">
        <f>FORECAST(M$3,$C20:$L20,$C$3:$L$3)</f>
        <v>15757.982822637219</v>
      </c>
      <c r="N20" s="40">
        <f>FORECAST(N$3,$C20:$L20,$C$3:$L$3)</f>
        <v>16693.288447451734</v>
      </c>
      <c r="O20" s="40">
        <f>FORECAST(O$3,$C20:$L20,$C$3:$L$3)</f>
        <v>17628.594072266249</v>
      </c>
      <c r="P20" s="40">
        <f>FORECAST(P$3,$C20:$L20,$C$3:$L$3)</f>
        <v>18563.899697080749</v>
      </c>
      <c r="Q20" s="40">
        <f>FORECAST(Q$3,$C20:$L20,$C$3:$L$3)</f>
        <v>19499.205321895264</v>
      </c>
    </row>
    <row r="21" spans="2:17" x14ac:dyDescent="0.35">
      <c r="B21" s="30" t="s">
        <v>105</v>
      </c>
      <c r="C21" s="37">
        <f>C20/C6</f>
        <v>0.17779386044267534</v>
      </c>
      <c r="D21" s="37">
        <f t="shared" ref="D21:L21" si="7">D20/D6</f>
        <v>0.19634266422844282</v>
      </c>
      <c r="E21" s="37">
        <f t="shared" si="7"/>
        <v>0.21152378529636226</v>
      </c>
      <c r="F21" s="37">
        <f t="shared" si="7"/>
        <v>0.22268305557650253</v>
      </c>
      <c r="G21" s="37">
        <f t="shared" si="7"/>
        <v>0.22437696691332823</v>
      </c>
      <c r="H21" s="37">
        <f t="shared" si="7"/>
        <v>0.22434504061320215</v>
      </c>
      <c r="I21" s="37">
        <f t="shared" si="7"/>
        <v>0.21475734565863322</v>
      </c>
      <c r="J21" s="37">
        <f t="shared" si="7"/>
        <v>0.21718689414501746</v>
      </c>
      <c r="K21" s="37">
        <f t="shared" si="7"/>
        <v>0.21923102008870338</v>
      </c>
      <c r="L21" s="37">
        <f t="shared" si="7"/>
        <v>0.21260160079419246</v>
      </c>
      <c r="M21" s="37">
        <f>M20/M6</f>
        <v>0.22199843788709189</v>
      </c>
      <c r="N21" s="37">
        <f>N20/N6</f>
        <v>0.22297627664038155</v>
      </c>
      <c r="O21" s="37">
        <f>O20/O6</f>
        <v>0.22385767504619372</v>
      </c>
      <c r="P21" s="37">
        <f>P20/P6</f>
        <v>0.2246562298976216</v>
      </c>
      <c r="Q21" s="37">
        <f>Q20/Q6</f>
        <v>0.22538309676098719</v>
      </c>
    </row>
    <row r="22" spans="2:17" x14ac:dyDescent="0.35">
      <c r="B22" s="2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41"/>
      <c r="N22" s="41"/>
      <c r="O22" s="41"/>
      <c r="P22" s="41"/>
      <c r="Q22" s="41"/>
    </row>
    <row r="23" spans="2:17" x14ac:dyDescent="0.35">
      <c r="B23" s="20" t="s">
        <v>106</v>
      </c>
      <c r="C23" s="29">
        <f>'Data Sheet'!B27</f>
        <v>35</v>
      </c>
      <c r="D23" s="29">
        <f>'Data Sheet'!C27</f>
        <v>26</v>
      </c>
      <c r="E23" s="29">
        <f>'Data Sheet'!D27</f>
        <v>33</v>
      </c>
      <c r="F23" s="29">
        <f>'Data Sheet'!E27</f>
        <v>118</v>
      </c>
      <c r="G23" s="29">
        <f>'Data Sheet'!F27</f>
        <v>117</v>
      </c>
      <c r="H23" s="29">
        <f>'Data Sheet'!G27</f>
        <v>106</v>
      </c>
      <c r="I23" s="29">
        <f>'Data Sheet'!H27</f>
        <v>114</v>
      </c>
      <c r="J23" s="29">
        <f>'Data Sheet'!I27</f>
        <v>334</v>
      </c>
      <c r="K23" s="29">
        <f>'Data Sheet'!J27</f>
        <v>381</v>
      </c>
      <c r="L23" s="29">
        <f>'Data Sheet'!K27</f>
        <v>410</v>
      </c>
      <c r="M23" s="38">
        <f>FORECAST(M$3,$C23:$L23,$C$3:$L$3)</f>
        <v>412.10221035518589</v>
      </c>
      <c r="N23" s="38">
        <f>FORECAST(N$3,$C23:$L23,$C$3:$L$3)</f>
        <v>456.44953650369825</v>
      </c>
      <c r="O23" s="38">
        <f>FORECAST(O$3,$C23:$L23,$C$3:$L$3)</f>
        <v>500.79686265221062</v>
      </c>
      <c r="P23" s="38">
        <f>FORECAST(P$3,$C23:$L23,$C$3:$L$3)</f>
        <v>545.14418880072299</v>
      </c>
      <c r="Q23" s="38">
        <f>FORECAST(Q$3,$C23:$L23,$C$3:$L$3)</f>
        <v>589.49151494923626</v>
      </c>
    </row>
    <row r="24" spans="2:17" x14ac:dyDescent="0.35">
      <c r="B24" s="2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41"/>
      <c r="N24" s="41"/>
      <c r="O24" s="41"/>
      <c r="P24" s="41"/>
      <c r="Q24" s="41"/>
    </row>
    <row r="25" spans="2:17" x14ac:dyDescent="0.35">
      <c r="B25" s="33" t="s">
        <v>107</v>
      </c>
      <c r="C25" s="35">
        <f>C20-C23</f>
        <v>5861</v>
      </c>
      <c r="D25" s="35">
        <f t="shared" ref="D25:L25" si="8">D20-D23</f>
        <v>6953</v>
      </c>
      <c r="E25" s="35">
        <f t="shared" si="8"/>
        <v>8282</v>
      </c>
      <c r="F25" s="35">
        <f t="shared" si="8"/>
        <v>8741</v>
      </c>
      <c r="G25" s="35">
        <f t="shared" si="8"/>
        <v>10435</v>
      </c>
      <c r="H25" s="35">
        <f t="shared" si="8"/>
        <v>11660</v>
      </c>
      <c r="I25" s="35">
        <f t="shared" si="8"/>
        <v>12896</v>
      </c>
      <c r="J25" s="35">
        <f t="shared" si="8"/>
        <v>13109</v>
      </c>
      <c r="K25" s="35">
        <f t="shared" si="8"/>
        <v>13064</v>
      </c>
      <c r="L25" s="35">
        <f t="shared" si="8"/>
        <v>13296</v>
      </c>
      <c r="M25" s="40">
        <f>FORECAST(M$3,$C25:$L25,$C$3:$L$3)</f>
        <v>15345.880612282024</v>
      </c>
      <c r="N25" s="40">
        <f>FORECAST(N$3,$C25:$L25,$C$3:$L$3)</f>
        <v>16236.838910948019</v>
      </c>
      <c r="O25" s="40">
        <f>FORECAST(O$3,$C25:$L25,$C$3:$L$3)</f>
        <v>17127.797209614029</v>
      </c>
      <c r="P25" s="40">
        <f>FORECAST(P$3,$C25:$L25,$C$3:$L$3)</f>
        <v>18018.755508280025</v>
      </c>
      <c r="Q25" s="40">
        <f>FORECAST(Q$3,$C25:$L25,$C$3:$L$3)</f>
        <v>18909.71380694602</v>
      </c>
    </row>
    <row r="26" spans="2:17" x14ac:dyDescent="0.35">
      <c r="B26" s="30" t="s">
        <v>110</v>
      </c>
      <c r="C26" s="37">
        <f>C25/C6</f>
        <v>0.17673843555877208</v>
      </c>
      <c r="D26" s="37">
        <f t="shared" ref="D26:L26" si="9">D25/D6</f>
        <v>0.19561119707413138</v>
      </c>
      <c r="E26" s="37">
        <f t="shared" si="9"/>
        <v>0.21068430424828288</v>
      </c>
      <c r="F26" s="37">
        <f t="shared" si="9"/>
        <v>0.21971696453258929</v>
      </c>
      <c r="G26" s="37">
        <f t="shared" si="9"/>
        <v>0.22188908735221571</v>
      </c>
      <c r="H26" s="37">
        <f t="shared" si="9"/>
        <v>0.22232391412119132</v>
      </c>
      <c r="I26" s="37">
        <f t="shared" si="9"/>
        <v>0.21287553648068669</v>
      </c>
      <c r="J26" s="37">
        <f t="shared" si="9"/>
        <v>0.2117907457670932</v>
      </c>
      <c r="K26" s="37">
        <f t="shared" si="9"/>
        <v>0.21301852334985652</v>
      </c>
      <c r="L26" s="37">
        <f t="shared" si="9"/>
        <v>0.20624185642489298</v>
      </c>
      <c r="M26" s="37">
        <f>M25/M6</f>
        <v>0.21619274257834678</v>
      </c>
      <c r="N26" s="37">
        <f>N25/N6</f>
        <v>0.21687937018338188</v>
      </c>
      <c r="O26" s="37">
        <f>O25/O6</f>
        <v>0.21749827843837669</v>
      </c>
      <c r="P26" s="37">
        <f>P25/P6</f>
        <v>0.21805901486171905</v>
      </c>
      <c r="Q26" s="37">
        <f>Q25/Q6</f>
        <v>0.21856941276924016</v>
      </c>
    </row>
    <row r="27" spans="2:17" x14ac:dyDescent="0.35">
      <c r="B27" s="2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41"/>
      <c r="N27" s="41"/>
      <c r="O27" s="41"/>
      <c r="P27" s="41"/>
      <c r="Q27" s="41"/>
    </row>
    <row r="28" spans="2:17" x14ac:dyDescent="0.35">
      <c r="B28" s="20" t="s">
        <v>13</v>
      </c>
      <c r="C28" s="29">
        <f>'Data Sheet'!B29</f>
        <v>1977</v>
      </c>
      <c r="D28" s="29">
        <f>'Data Sheet'!C29</f>
        <v>2079</v>
      </c>
      <c r="E28" s="29">
        <f>'Data Sheet'!D29</f>
        <v>2544</v>
      </c>
      <c r="F28" s="29">
        <f>'Data Sheet'!E29</f>
        <v>2409</v>
      </c>
      <c r="G28" s="29">
        <f>'Data Sheet'!F29</f>
        <v>2606</v>
      </c>
      <c r="H28" s="29">
        <f>'Data Sheet'!G29</f>
        <v>2987</v>
      </c>
      <c r="I28" s="29">
        <f>'Data Sheet'!H29</f>
        <v>3201</v>
      </c>
      <c r="J28" s="29">
        <f>'Data Sheet'!I29</f>
        <v>3644</v>
      </c>
      <c r="K28" s="29">
        <f>'Data Sheet'!J29</f>
        <v>3748</v>
      </c>
      <c r="L28" s="29">
        <f>'Data Sheet'!K29</f>
        <v>3160</v>
      </c>
      <c r="M28" s="38">
        <f>FORECAST(M$3,$C28:$L28,$C$3:$L$3)</f>
        <v>3854.8743826148057</v>
      </c>
      <c r="N28" s="38">
        <f>FORECAST(N$3,$C28:$L28,$C$3:$L$3)</f>
        <v>4039.6153710498511</v>
      </c>
      <c r="O28" s="38">
        <f>FORECAST(O$3,$C28:$L28,$C$3:$L$3)</f>
        <v>4224.3563594848965</v>
      </c>
      <c r="P28" s="38">
        <f>FORECAST(P$3,$C28:$L28,$C$3:$L$3)</f>
        <v>4409.097347919942</v>
      </c>
      <c r="Q28" s="38">
        <f>FORECAST(Q$3,$C28:$L28,$C$3:$L$3)</f>
        <v>4593.8383363549874</v>
      </c>
    </row>
    <row r="29" spans="2:17" x14ac:dyDescent="0.35">
      <c r="B29" s="2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41"/>
      <c r="N29" s="41"/>
      <c r="O29" s="41"/>
      <c r="P29" s="41"/>
      <c r="Q29" s="41"/>
    </row>
    <row r="30" spans="2:17" x14ac:dyDescent="0.35">
      <c r="B30" s="33" t="s">
        <v>108</v>
      </c>
      <c r="C30" s="35">
        <f>C25-C28</f>
        <v>3884</v>
      </c>
      <c r="D30" s="35">
        <f t="shared" ref="D30:L30" si="10">D25-D28</f>
        <v>4874</v>
      </c>
      <c r="E30" s="35">
        <f t="shared" si="10"/>
        <v>5738</v>
      </c>
      <c r="F30" s="35">
        <f t="shared" si="10"/>
        <v>6332</v>
      </c>
      <c r="G30" s="35">
        <f t="shared" si="10"/>
        <v>7829</v>
      </c>
      <c r="H30" s="35">
        <f t="shared" si="10"/>
        <v>8673</v>
      </c>
      <c r="I30" s="35">
        <f t="shared" si="10"/>
        <v>9695</v>
      </c>
      <c r="J30" s="35">
        <f t="shared" si="10"/>
        <v>9465</v>
      </c>
      <c r="K30" s="35">
        <f t="shared" si="10"/>
        <v>9316</v>
      </c>
      <c r="L30" s="35">
        <f t="shared" si="10"/>
        <v>10136</v>
      </c>
      <c r="M30" s="40">
        <f>FORECAST(M$3,$C30:$L30,$C$3:$L$3)</f>
        <v>11491.006229667226</v>
      </c>
      <c r="N30" s="40">
        <f>FORECAST(N$3,$C30:$L30,$C$3:$L$3)</f>
        <v>12197.223539898172</v>
      </c>
      <c r="O30" s="40">
        <f>FORECAST(O$3,$C30:$L30,$C$3:$L$3)</f>
        <v>12903.440850129133</v>
      </c>
      <c r="P30" s="40">
        <f>FORECAST(P$3,$C30:$L30,$C$3:$L$3)</f>
        <v>13609.658160360079</v>
      </c>
      <c r="Q30" s="40">
        <f>FORECAST(Q$3,$C30:$L30,$C$3:$L$3)</f>
        <v>14315.87547059104</v>
      </c>
    </row>
    <row r="31" spans="2:17" x14ac:dyDescent="0.35">
      <c r="B31" s="30" t="s">
        <v>109</v>
      </c>
      <c r="C31" s="37">
        <f>C30/C6</f>
        <v>0.11712200711657922</v>
      </c>
      <c r="D31" s="37">
        <f t="shared" ref="D31:M31" si="11">D30/D6</f>
        <v>0.1371219580813054</v>
      </c>
      <c r="E31" s="37">
        <f t="shared" si="11"/>
        <v>0.14596794708725516</v>
      </c>
      <c r="F31" s="37">
        <f t="shared" si="11"/>
        <v>0.15916346178015736</v>
      </c>
      <c r="G31" s="37">
        <f t="shared" si="11"/>
        <v>0.16647529131581185</v>
      </c>
      <c r="H31" s="37">
        <f t="shared" si="11"/>
        <v>0.16537009495481067</v>
      </c>
      <c r="I31" s="37">
        <f t="shared" si="11"/>
        <v>0.16003631561571477</v>
      </c>
      <c r="J31" s="37">
        <f t="shared" si="11"/>
        <v>0.15291779759596744</v>
      </c>
      <c r="K31" s="37">
        <f t="shared" si="11"/>
        <v>0.15190451343595096</v>
      </c>
      <c r="L31" s="37">
        <f t="shared" si="11"/>
        <v>0.15722529006638952</v>
      </c>
      <c r="M31" s="37">
        <f t="shared" si="11"/>
        <v>0.16188527817610848</v>
      </c>
      <c r="N31" s="37">
        <f>N30/N6</f>
        <v>0.1629212541817712</v>
      </c>
      <c r="O31" s="37">
        <f>O30/O6</f>
        <v>0.16385505599396066</v>
      </c>
      <c r="P31" s="37">
        <f>P30/P6</f>
        <v>0.16470108880100767</v>
      </c>
      <c r="Q31" s="37">
        <f>Q30/Q6</f>
        <v>0.16547117142171064</v>
      </c>
    </row>
    <row r="32" spans="2:17" x14ac:dyDescent="0.35">
      <c r="B32" s="20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7" x14ac:dyDescent="0.35">
      <c r="B33" s="20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7" x14ac:dyDescent="0.35">
      <c r="A34" t="s">
        <v>94</v>
      </c>
      <c r="B34" s="42" t="s">
        <v>176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1:17" x14ac:dyDescent="0.35">
      <c r="B35" s="52" t="s">
        <v>135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7" x14ac:dyDescent="0.35">
      <c r="B36" s="20" t="s">
        <v>134</v>
      </c>
      <c r="C36" s="29">
        <f>'Data Sheet'!B57</f>
        <v>216</v>
      </c>
      <c r="D36" s="29">
        <f>'Data Sheet'!C57</f>
        <v>216</v>
      </c>
      <c r="E36" s="29">
        <f>'Data Sheet'!D57</f>
        <v>216</v>
      </c>
      <c r="F36" s="29">
        <f>'Data Sheet'!E57</f>
        <v>216</v>
      </c>
      <c r="G36" s="29">
        <f>'Data Sheet'!F57</f>
        <v>235</v>
      </c>
      <c r="H36" s="29">
        <f>'Data Sheet'!G57</f>
        <v>235</v>
      </c>
      <c r="I36" s="29">
        <f>'Data Sheet'!H57</f>
        <v>235</v>
      </c>
      <c r="J36" s="29">
        <f>'Data Sheet'!I57</f>
        <v>235</v>
      </c>
      <c r="K36" s="29">
        <f>'Data Sheet'!J57</f>
        <v>235</v>
      </c>
      <c r="L36" s="29">
        <f>'Data Sheet'!K57</f>
        <v>235</v>
      </c>
      <c r="M36" s="38">
        <f t="shared" ref="M36:Q37" si="12">FORECAST(M$3,$C36:$L36,$C$3:$L$3)</f>
        <v>242.59678344373955</v>
      </c>
      <c r="N36" s="38">
        <f t="shared" si="12"/>
        <v>245.35089306461148</v>
      </c>
      <c r="O36" s="38">
        <f t="shared" si="12"/>
        <v>248.10500268548336</v>
      </c>
      <c r="P36" s="38">
        <f t="shared" si="12"/>
        <v>250.85911230635529</v>
      </c>
      <c r="Q36" s="38">
        <f t="shared" si="12"/>
        <v>253.61322192722716</v>
      </c>
    </row>
    <row r="37" spans="1:17" x14ac:dyDescent="0.35">
      <c r="B37" s="20" t="s">
        <v>25</v>
      </c>
      <c r="C37" s="29">
        <f>'Data Sheet'!B58</f>
        <v>6528</v>
      </c>
      <c r="D37" s="29">
        <f>'Data Sheet'!C58</f>
        <v>7065</v>
      </c>
      <c r="E37" s="29">
        <f>'Data Sheet'!D58</f>
        <v>7651</v>
      </c>
      <c r="F37" s="29">
        <f>'Data Sheet'!E58</f>
        <v>8013</v>
      </c>
      <c r="G37" s="29">
        <f>'Data Sheet'!F58</f>
        <v>47439</v>
      </c>
      <c r="H37" s="29">
        <f>'Data Sheet'!G58</f>
        <v>48826</v>
      </c>
      <c r="I37" s="29">
        <f>'Data Sheet'!H58</f>
        <v>50069</v>
      </c>
      <c r="J37" s="29">
        <f>'Data Sheet'!I58</f>
        <v>50983</v>
      </c>
      <c r="K37" s="29">
        <f>'Data Sheet'!J58</f>
        <v>49167</v>
      </c>
      <c r="L37" s="29">
        <f>'Data Sheet'!K58</f>
        <v>48504</v>
      </c>
      <c r="M37" s="38">
        <f t="shared" si="12"/>
        <v>66307.820145663456</v>
      </c>
      <c r="N37" s="38">
        <f t="shared" si="12"/>
        <v>72448.486579829012</v>
      </c>
      <c r="O37" s="38">
        <f t="shared" si="12"/>
        <v>78589.153013994568</v>
      </c>
      <c r="P37" s="38">
        <f t="shared" si="12"/>
        <v>84729.819448160124</v>
      </c>
      <c r="Q37" s="38">
        <f t="shared" si="12"/>
        <v>90870.48588232568</v>
      </c>
    </row>
    <row r="38" spans="1:17" x14ac:dyDescent="0.35">
      <c r="B38" s="20" t="s">
        <v>71</v>
      </c>
      <c r="C38" s="29">
        <f>'Data Sheet'!B59</f>
        <v>277</v>
      </c>
      <c r="D38" s="29">
        <f>'Data Sheet'!C59</f>
        <v>0</v>
      </c>
      <c r="E38" s="29">
        <f>'Data Sheet'!D59</f>
        <v>99</v>
      </c>
      <c r="F38" s="29">
        <f>'Data Sheet'!E59</f>
        <v>0</v>
      </c>
      <c r="G38" s="29">
        <f>'Data Sheet'!F59</f>
        <v>0</v>
      </c>
      <c r="H38" s="29">
        <f>'Data Sheet'!G59</f>
        <v>1043</v>
      </c>
      <c r="I38" s="29">
        <f>'Data Sheet'!H59</f>
        <v>1219</v>
      </c>
      <c r="J38" s="29">
        <f>'Data Sheet'!I59</f>
        <v>1484</v>
      </c>
      <c r="K38" s="29">
        <f>'Data Sheet'!J59</f>
        <v>1648</v>
      </c>
      <c r="L38" s="29">
        <f>'Data Sheet'!K59</f>
        <v>1478</v>
      </c>
      <c r="M38" s="38">
        <f t="shared" ref="M38:Q40" si="13">FORECAST(M$3,$C38:$L38,$C$3:$L$3)</f>
        <v>1856.8914785613088</v>
      </c>
      <c r="N38" s="38">
        <f t="shared" si="13"/>
        <v>2062.0601607601238</v>
      </c>
      <c r="O38" s="38">
        <f t="shared" si="13"/>
        <v>2267.2288429589389</v>
      </c>
      <c r="P38" s="38">
        <f t="shared" si="13"/>
        <v>2472.3975251577504</v>
      </c>
      <c r="Q38" s="38">
        <f t="shared" si="13"/>
        <v>2677.5662073565654</v>
      </c>
    </row>
    <row r="39" spans="1:17" x14ac:dyDescent="0.35">
      <c r="B39" s="20" t="s">
        <v>72</v>
      </c>
      <c r="C39" s="29">
        <f>'Data Sheet'!B60</f>
        <v>2499</v>
      </c>
      <c r="D39" s="29">
        <f>'Data Sheet'!C60</f>
        <v>3411</v>
      </c>
      <c r="E39" s="29">
        <f>'Data Sheet'!D60</f>
        <v>3457</v>
      </c>
      <c r="F39" s="29">
        <f>'Data Sheet'!E60</f>
        <v>4389</v>
      </c>
      <c r="G39" s="29">
        <f>'Data Sheet'!F60</f>
        <v>12264</v>
      </c>
      <c r="H39" s="29">
        <f>'Data Sheet'!G60</f>
        <v>11334</v>
      </c>
      <c r="I39" s="29">
        <f>'Data Sheet'!H60</f>
        <v>11980</v>
      </c>
      <c r="J39" s="29">
        <f>'Data Sheet'!I60</f>
        <v>15301</v>
      </c>
      <c r="K39" s="29">
        <f>'Data Sheet'!J60</f>
        <v>17498</v>
      </c>
      <c r="L39" s="29">
        <f>'Data Sheet'!K60</f>
        <v>16196</v>
      </c>
      <c r="M39" s="38">
        <f t="shared" si="13"/>
        <v>19929.25088800845</v>
      </c>
      <c r="N39" s="38">
        <f t="shared" si="13"/>
        <v>21759.010272243002</v>
      </c>
      <c r="O39" s="38">
        <f t="shared" si="13"/>
        <v>23588.769656477525</v>
      </c>
      <c r="P39" s="38">
        <f t="shared" si="13"/>
        <v>25418.529040712077</v>
      </c>
      <c r="Q39" s="38">
        <f t="shared" si="13"/>
        <v>27248.28842494663</v>
      </c>
    </row>
    <row r="40" spans="1:17" x14ac:dyDescent="0.35">
      <c r="B40" s="20" t="s">
        <v>188</v>
      </c>
      <c r="C40" s="29">
        <f>'Data Sheet'!B61</f>
        <v>6186</v>
      </c>
      <c r="D40" s="29">
        <f>'Data Sheet'!C61</f>
        <v>7170</v>
      </c>
      <c r="E40" s="29">
        <f>'Data Sheet'!D61</f>
        <v>7206</v>
      </c>
      <c r="F40" s="29">
        <f>'Data Sheet'!E61</f>
        <v>7535</v>
      </c>
      <c r="G40" s="29">
        <f>'Data Sheet'!F61</f>
        <v>8802</v>
      </c>
      <c r="H40" s="29">
        <f>'Data Sheet'!G61</f>
        <v>9068</v>
      </c>
      <c r="I40" s="29">
        <f>'Data Sheet'!H61</f>
        <v>9574</v>
      </c>
      <c r="J40" s="29">
        <f>'Data Sheet'!I61</f>
        <v>10486</v>
      </c>
      <c r="K40" s="29">
        <f>'Data Sheet'!J61</f>
        <v>11315</v>
      </c>
      <c r="L40" s="29">
        <f>'Data Sheet'!K61</f>
        <v>13325</v>
      </c>
      <c r="M40" s="38">
        <f t="shared" si="13"/>
        <v>12934.191968898827</v>
      </c>
      <c r="N40" s="38">
        <f t="shared" si="13"/>
        <v>13635.096662291486</v>
      </c>
      <c r="O40" s="38">
        <f t="shared" si="13"/>
        <v>14336.001355684159</v>
      </c>
      <c r="P40" s="38">
        <f t="shared" si="13"/>
        <v>15036.906049076817</v>
      </c>
      <c r="Q40" s="38">
        <f t="shared" si="13"/>
        <v>15737.81074246949</v>
      </c>
    </row>
    <row r="41" spans="1:17" x14ac:dyDescent="0.35">
      <c r="B41" s="53" t="s">
        <v>186</v>
      </c>
      <c r="C41" s="54">
        <f>SUM(C36:C40)</f>
        <v>15706</v>
      </c>
      <c r="D41" s="54">
        <f t="shared" ref="D41:Q41" si="14">SUM(D36:D40)</f>
        <v>17862</v>
      </c>
      <c r="E41" s="54">
        <f t="shared" si="14"/>
        <v>18629</v>
      </c>
      <c r="F41" s="54">
        <f t="shared" si="14"/>
        <v>20153</v>
      </c>
      <c r="G41" s="54">
        <f t="shared" si="14"/>
        <v>68740</v>
      </c>
      <c r="H41" s="54">
        <f t="shared" si="14"/>
        <v>70506</v>
      </c>
      <c r="I41" s="54">
        <f t="shared" si="14"/>
        <v>73077</v>
      </c>
      <c r="J41" s="54">
        <f t="shared" si="14"/>
        <v>78489</v>
      </c>
      <c r="K41" s="54">
        <f t="shared" si="14"/>
        <v>79863</v>
      </c>
      <c r="L41" s="54">
        <f t="shared" si="14"/>
        <v>79738</v>
      </c>
      <c r="M41" s="54">
        <f t="shared" si="14"/>
        <v>101270.75126457577</v>
      </c>
      <c r="N41" s="54">
        <f t="shared" si="14"/>
        <v>110150.00456818823</v>
      </c>
      <c r="O41" s="54">
        <f t="shared" si="14"/>
        <v>119029.25787180067</v>
      </c>
      <c r="P41" s="54">
        <f t="shared" si="14"/>
        <v>127908.51117541312</v>
      </c>
      <c r="Q41" s="54">
        <f t="shared" si="14"/>
        <v>136787.76447902559</v>
      </c>
    </row>
    <row r="42" spans="1:17" x14ac:dyDescent="0.35">
      <c r="B42" s="20"/>
      <c r="C42" s="29"/>
      <c r="D42" s="29"/>
      <c r="E42" s="29"/>
      <c r="F42" s="29"/>
      <c r="G42" s="29"/>
      <c r="H42" s="29"/>
      <c r="I42" s="29"/>
      <c r="J42" s="29"/>
      <c r="K42" s="29"/>
      <c r="L42" s="25"/>
      <c r="M42" s="39"/>
      <c r="N42" s="39"/>
      <c r="O42" s="39"/>
      <c r="P42" s="39"/>
      <c r="Q42" s="39"/>
    </row>
    <row r="43" spans="1:17" x14ac:dyDescent="0.35">
      <c r="B43" s="20" t="s">
        <v>27</v>
      </c>
      <c r="C43" s="29">
        <f>'Data Sheet'!B63</f>
        <v>4419</v>
      </c>
      <c r="D43" s="29">
        <f>'Data Sheet'!C63</f>
        <v>4528</v>
      </c>
      <c r="E43" s="29">
        <f>'Data Sheet'!D63</f>
        <v>4715</v>
      </c>
      <c r="F43" s="29">
        <f>'Data Sheet'!E63</f>
        <v>5479</v>
      </c>
      <c r="G43" s="29">
        <f>'Data Sheet'!F63</f>
        <v>51443</v>
      </c>
      <c r="H43" s="29">
        <f>'Data Sheet'!G63</f>
        <v>51473</v>
      </c>
      <c r="I43" s="29">
        <f>'Data Sheet'!H63</f>
        <v>52678</v>
      </c>
      <c r="J43" s="29">
        <f>'Data Sheet'!I63</f>
        <v>53744</v>
      </c>
      <c r="K43" s="29">
        <f>'Data Sheet'!J63</f>
        <v>54335</v>
      </c>
      <c r="L43" s="29">
        <f>'Data Sheet'!K63</f>
        <v>57428</v>
      </c>
      <c r="M43" s="38">
        <f t="shared" ref="M43:Q50" si="15">FORECAST(M$3,$C43:$L43,$C$3:$L$3)</f>
        <v>74432.432030668366</v>
      </c>
      <c r="N43" s="38">
        <f t="shared" si="15"/>
        <v>81755.606767617981</v>
      </c>
      <c r="O43" s="38">
        <f t="shared" si="15"/>
        <v>89078.781504567596</v>
      </c>
      <c r="P43" s="38">
        <f t="shared" si="15"/>
        <v>96401.956241517211</v>
      </c>
      <c r="Q43" s="38">
        <f t="shared" si="15"/>
        <v>103725.13097846683</v>
      </c>
    </row>
    <row r="44" spans="1:17" x14ac:dyDescent="0.35">
      <c r="B44" s="20" t="s">
        <v>182</v>
      </c>
      <c r="C44" s="29">
        <f>'Data Sheet'!B64</f>
        <v>229</v>
      </c>
      <c r="D44" s="29">
        <f>'Data Sheet'!C64</f>
        <v>461</v>
      </c>
      <c r="E44" s="29">
        <f>'Data Sheet'!D64</f>
        <v>406</v>
      </c>
      <c r="F44" s="29">
        <f>'Data Sheet'!E64</f>
        <v>597</v>
      </c>
      <c r="G44" s="29">
        <f>'Data Sheet'!F64</f>
        <v>745</v>
      </c>
      <c r="H44" s="29">
        <f>'Data Sheet'!G64</f>
        <v>1313</v>
      </c>
      <c r="I44" s="29">
        <f>'Data Sheet'!H64</f>
        <v>1132</v>
      </c>
      <c r="J44" s="29">
        <f>'Data Sheet'!I64</f>
        <v>1025</v>
      </c>
      <c r="K44" s="29">
        <f>'Data Sheet'!J64</f>
        <v>1009</v>
      </c>
      <c r="L44" s="29">
        <f>'Data Sheet'!K64</f>
        <v>880</v>
      </c>
      <c r="M44" s="38">
        <f t="shared" si="15"/>
        <v>1278.3515622480863</v>
      </c>
      <c r="N44" s="38">
        <f t="shared" si="15"/>
        <v>1368.7220719111701</v>
      </c>
      <c r="O44" s="38">
        <f t="shared" si="15"/>
        <v>1459.0925815742539</v>
      </c>
      <c r="P44" s="38">
        <f t="shared" si="15"/>
        <v>1549.4630912373377</v>
      </c>
      <c r="Q44" s="38">
        <f t="shared" si="15"/>
        <v>1639.8336009004215</v>
      </c>
    </row>
    <row r="45" spans="1:17" x14ac:dyDescent="0.35">
      <c r="B45" s="20" t="s">
        <v>29</v>
      </c>
      <c r="C45" s="29">
        <f>'Data Sheet'!B65</f>
        <v>3794</v>
      </c>
      <c r="D45" s="29">
        <f>'Data Sheet'!C65</f>
        <v>2873</v>
      </c>
      <c r="E45" s="29">
        <f>'Data Sheet'!D65</f>
        <v>2716</v>
      </c>
      <c r="F45" s="29">
        <f>'Data Sheet'!E65</f>
        <v>1255</v>
      </c>
      <c r="G45" s="29">
        <f>'Data Sheet'!F65</f>
        <v>2709</v>
      </c>
      <c r="H45" s="29">
        <f>'Data Sheet'!G65</f>
        <v>3521</v>
      </c>
      <c r="I45" s="29">
        <f>'Data Sheet'!H65</f>
        <v>2882</v>
      </c>
      <c r="J45" s="29">
        <f>'Data Sheet'!I65</f>
        <v>4625</v>
      </c>
      <c r="K45" s="29">
        <f>'Data Sheet'!J65</f>
        <v>3810</v>
      </c>
      <c r="L45" s="29">
        <f>'Data Sheet'!K65</f>
        <v>4359</v>
      </c>
      <c r="M45" s="38">
        <f t="shared" si="15"/>
        <v>4150.2863061336575</v>
      </c>
      <c r="N45" s="38">
        <f t="shared" si="15"/>
        <v>4312.6475784426693</v>
      </c>
      <c r="O45" s="38">
        <f t="shared" si="15"/>
        <v>4475.0088507516812</v>
      </c>
      <c r="P45" s="38">
        <f t="shared" si="15"/>
        <v>4637.370123060693</v>
      </c>
      <c r="Q45" s="38">
        <f t="shared" si="15"/>
        <v>4799.7313953697048</v>
      </c>
    </row>
    <row r="46" spans="1:17" x14ac:dyDescent="0.35">
      <c r="B46" s="20" t="s">
        <v>73</v>
      </c>
      <c r="C46" s="29">
        <f>'Data Sheet'!B66-(SUM('Data Sheet'!B68:B70))</f>
        <v>1810</v>
      </c>
      <c r="D46" s="29">
        <f>'Data Sheet'!C66-(SUM('Data Sheet'!C68:C70))</f>
        <v>2692</v>
      </c>
      <c r="E46" s="29">
        <f>'Data Sheet'!D66-(SUM('Data Sheet'!D68:D70))</f>
        <v>2645</v>
      </c>
      <c r="F46" s="29">
        <f>'Data Sheet'!E66-(SUM('Data Sheet'!E68:E70))</f>
        <v>3793</v>
      </c>
      <c r="G46" s="29">
        <f>'Data Sheet'!F66-(SUM('Data Sheet'!F68:F70))</f>
        <v>4035</v>
      </c>
      <c r="H46" s="29">
        <f>'Data Sheet'!G66-(SUM('Data Sheet'!G68:G70))</f>
        <v>4021</v>
      </c>
      <c r="I46" s="29">
        <f>'Data Sheet'!H66-(SUM('Data Sheet'!H68:H70))</f>
        <v>4377</v>
      </c>
      <c r="J46" s="29">
        <f>'Data Sheet'!I66-(SUM('Data Sheet'!I68:I70))</f>
        <v>4517</v>
      </c>
      <c r="K46" s="29">
        <f>'Data Sheet'!J66-(SUM('Data Sheet'!J68:J70))</f>
        <v>4921</v>
      </c>
      <c r="L46" s="29">
        <f>'Data Sheet'!K66-(SUM('Data Sheet'!K68:K70))</f>
        <v>5655</v>
      </c>
      <c r="M46" s="38">
        <f t="shared" si="15"/>
        <v>5889.7524874826195</v>
      </c>
      <c r="N46" s="38">
        <f t="shared" si="15"/>
        <v>6260.0325499390165</v>
      </c>
      <c r="O46" s="38">
        <f t="shared" si="15"/>
        <v>6630.3126123954135</v>
      </c>
      <c r="P46" s="38">
        <f t="shared" si="15"/>
        <v>7000.5926748518104</v>
      </c>
      <c r="Q46" s="38">
        <f t="shared" si="15"/>
        <v>7370.8727373082074</v>
      </c>
    </row>
    <row r="47" spans="1:17" x14ac:dyDescent="0.35">
      <c r="B47" s="55" t="s">
        <v>184</v>
      </c>
      <c r="C47" s="57">
        <f>SUM(C43:C46)</f>
        <v>10252</v>
      </c>
      <c r="D47" s="57">
        <f t="shared" ref="D47:L47" si="16">SUM(D43:D46)</f>
        <v>10554</v>
      </c>
      <c r="E47" s="57">
        <f t="shared" si="16"/>
        <v>10482</v>
      </c>
      <c r="F47" s="57">
        <f t="shared" si="16"/>
        <v>11124</v>
      </c>
      <c r="G47" s="57">
        <f t="shared" si="16"/>
        <v>58932</v>
      </c>
      <c r="H47" s="57">
        <f t="shared" si="16"/>
        <v>60328</v>
      </c>
      <c r="I47" s="57">
        <f t="shared" si="16"/>
        <v>61069</v>
      </c>
      <c r="J47" s="57">
        <f t="shared" si="16"/>
        <v>63911</v>
      </c>
      <c r="K47" s="57">
        <f t="shared" si="16"/>
        <v>64075</v>
      </c>
      <c r="L47" s="57">
        <f t="shared" si="16"/>
        <v>68322</v>
      </c>
      <c r="M47" s="58">
        <f>SUM(M43:M46)</f>
        <v>85750.822386532731</v>
      </c>
      <c r="N47" s="58">
        <f>SUM(N43:N46)</f>
        <v>93697.008967910835</v>
      </c>
      <c r="O47" s="58">
        <f>SUM(O43:O46)</f>
        <v>101643.19554928894</v>
      </c>
      <c r="P47" s="58">
        <f>SUM(P43:P46)</f>
        <v>109589.38213066706</v>
      </c>
      <c r="Q47" s="58">
        <f>SUM(Q43:Q46)</f>
        <v>117535.56871204516</v>
      </c>
    </row>
    <row r="48" spans="1:17" x14ac:dyDescent="0.35">
      <c r="B48" s="20" t="s">
        <v>78</v>
      </c>
      <c r="C48" s="29">
        <f>'Data Sheet'!B68</f>
        <v>1085</v>
      </c>
      <c r="D48" s="29">
        <f>'Data Sheet'!C68</f>
        <v>1310</v>
      </c>
      <c r="E48" s="29">
        <f>'Data Sheet'!D68</f>
        <v>1816</v>
      </c>
      <c r="F48" s="29">
        <f>'Data Sheet'!E68</f>
        <v>1149</v>
      </c>
      <c r="G48" s="29">
        <f>'Data Sheet'!F68</f>
        <v>1758</v>
      </c>
      <c r="H48" s="29">
        <f>'Data Sheet'!G68</f>
        <v>2236</v>
      </c>
      <c r="I48" s="29">
        <f>'Data Sheet'!H68</f>
        <v>3079</v>
      </c>
      <c r="J48" s="29">
        <f>'Data Sheet'!I68</f>
        <v>2997</v>
      </c>
      <c r="K48" s="29">
        <f>'Data Sheet'!J68</f>
        <v>3819</v>
      </c>
      <c r="L48" s="29">
        <f>'Data Sheet'!K68</f>
        <v>3379</v>
      </c>
      <c r="M48" s="38">
        <f t="shared" si="15"/>
        <v>3941.7873582625616</v>
      </c>
      <c r="N48" s="38">
        <f t="shared" si="15"/>
        <v>4246.0698568473672</v>
      </c>
      <c r="O48" s="38">
        <f t="shared" si="15"/>
        <v>4550.3523554321655</v>
      </c>
      <c r="P48" s="38">
        <f t="shared" si="15"/>
        <v>4854.6348540169638</v>
      </c>
      <c r="Q48" s="38">
        <f t="shared" si="15"/>
        <v>5158.9173526017621</v>
      </c>
    </row>
    <row r="49" spans="1:17" x14ac:dyDescent="0.35">
      <c r="B49" s="20" t="s">
        <v>45</v>
      </c>
      <c r="C49" s="29">
        <f>'Data Sheet'!B69</f>
        <v>2541</v>
      </c>
      <c r="D49" s="29">
        <f>'Data Sheet'!C69</f>
        <v>2513</v>
      </c>
      <c r="E49" s="29">
        <f>'Data Sheet'!D69</f>
        <v>2574</v>
      </c>
      <c r="F49" s="29">
        <f>'Data Sheet'!E69</f>
        <v>2767</v>
      </c>
      <c r="G49" s="29">
        <f>'Data Sheet'!F69</f>
        <v>3579</v>
      </c>
      <c r="H49" s="29">
        <f>'Data Sheet'!G69</f>
        <v>4096</v>
      </c>
      <c r="I49" s="29">
        <f>'Data Sheet'!H69</f>
        <v>4251</v>
      </c>
      <c r="J49" s="29">
        <f>'Data Sheet'!I69</f>
        <v>4022</v>
      </c>
      <c r="K49" s="29">
        <f>'Data Sheet'!J69</f>
        <v>4415</v>
      </c>
      <c r="L49" s="29">
        <f>'Data Sheet'!K69</f>
        <v>4789</v>
      </c>
      <c r="M49" s="38">
        <f t="shared" si="15"/>
        <v>5079.521768605784</v>
      </c>
      <c r="N49" s="38">
        <f t="shared" si="15"/>
        <v>5355.8648723013284</v>
      </c>
      <c r="O49" s="38">
        <f t="shared" si="15"/>
        <v>5632.2079759968728</v>
      </c>
      <c r="P49" s="38">
        <f t="shared" si="15"/>
        <v>5908.5510796924173</v>
      </c>
      <c r="Q49" s="38">
        <f t="shared" si="15"/>
        <v>6184.8941833879617</v>
      </c>
    </row>
    <row r="50" spans="1:17" x14ac:dyDescent="0.35">
      <c r="B50" s="20" t="s">
        <v>87</v>
      </c>
      <c r="C50" s="29">
        <f>'Data Sheet'!B70</f>
        <v>1828</v>
      </c>
      <c r="D50" s="29">
        <f>'Data Sheet'!C70</f>
        <v>3485</v>
      </c>
      <c r="E50" s="29">
        <f>'Data Sheet'!D70</f>
        <v>3757</v>
      </c>
      <c r="F50" s="29">
        <f>'Data Sheet'!E70</f>
        <v>5113</v>
      </c>
      <c r="G50" s="29">
        <f>'Data Sheet'!F70</f>
        <v>4471</v>
      </c>
      <c r="H50" s="29">
        <f>'Data Sheet'!G70</f>
        <v>3846</v>
      </c>
      <c r="I50" s="29">
        <f>'Data Sheet'!H70</f>
        <v>4678</v>
      </c>
      <c r="J50" s="29">
        <f>'Data Sheet'!I70</f>
        <v>7559</v>
      </c>
      <c r="K50" s="29">
        <f>'Data Sheet'!J70</f>
        <v>7554</v>
      </c>
      <c r="L50" s="29">
        <f>'Data Sheet'!K70</f>
        <v>3248</v>
      </c>
      <c r="M50" s="38">
        <f t="shared" si="15"/>
        <v>6498.619751174745</v>
      </c>
      <c r="N50" s="38">
        <f t="shared" si="15"/>
        <v>6851.0608711287423</v>
      </c>
      <c r="O50" s="38">
        <f t="shared" si="15"/>
        <v>7203.5019910827396</v>
      </c>
      <c r="P50" s="38">
        <f t="shared" si="15"/>
        <v>7555.9431110367368</v>
      </c>
      <c r="Q50" s="38">
        <f t="shared" si="15"/>
        <v>7908.3842309907341</v>
      </c>
    </row>
    <row r="51" spans="1:17" x14ac:dyDescent="0.35">
      <c r="B51" s="55" t="s">
        <v>183</v>
      </c>
      <c r="C51" s="57">
        <f>SUM(C48:C50)</f>
        <v>5454</v>
      </c>
      <c r="D51" s="57">
        <f t="shared" ref="D51:L51" si="17">SUM(D48:D50)</f>
        <v>7308</v>
      </c>
      <c r="E51" s="57">
        <f t="shared" si="17"/>
        <v>8147</v>
      </c>
      <c r="F51" s="57">
        <f t="shared" si="17"/>
        <v>9029</v>
      </c>
      <c r="G51" s="57">
        <f t="shared" si="17"/>
        <v>9808</v>
      </c>
      <c r="H51" s="57">
        <f t="shared" si="17"/>
        <v>10178</v>
      </c>
      <c r="I51" s="57">
        <f t="shared" si="17"/>
        <v>12008</v>
      </c>
      <c r="J51" s="57">
        <f t="shared" si="17"/>
        <v>14578</v>
      </c>
      <c r="K51" s="57">
        <f t="shared" si="17"/>
        <v>15788</v>
      </c>
      <c r="L51" s="57">
        <f t="shared" si="17"/>
        <v>11416</v>
      </c>
      <c r="M51" s="58">
        <f>SUM(M48:M50)</f>
        <v>15519.928878043091</v>
      </c>
      <c r="N51" s="58">
        <f>SUM(N48:N50)</f>
        <v>16452.995600277438</v>
      </c>
      <c r="O51" s="58">
        <f>SUM(O48:O50)</f>
        <v>17386.062322511778</v>
      </c>
      <c r="P51" s="58">
        <f>SUM(P48:P50)</f>
        <v>18319.129044746118</v>
      </c>
      <c r="Q51" s="58">
        <f>SUM(Q48:Q50)</f>
        <v>19252.195766980458</v>
      </c>
    </row>
    <row r="52" spans="1:17" x14ac:dyDescent="0.35">
      <c r="B52" s="20"/>
      <c r="C52" s="29"/>
      <c r="D52" s="29"/>
      <c r="E52" s="29"/>
      <c r="F52" s="29"/>
      <c r="G52" s="29"/>
      <c r="H52" s="29"/>
      <c r="I52" s="29"/>
      <c r="J52" s="29"/>
      <c r="K52" s="29"/>
      <c r="L52" s="25"/>
      <c r="M52" s="39"/>
      <c r="N52" s="39"/>
      <c r="O52" s="39"/>
      <c r="P52" s="39"/>
      <c r="Q52" s="39"/>
    </row>
    <row r="53" spans="1:17" x14ac:dyDescent="0.35">
      <c r="B53" s="53" t="s">
        <v>185</v>
      </c>
      <c r="C53" s="54">
        <f>C47+C51</f>
        <v>15706</v>
      </c>
      <c r="D53" s="54">
        <f t="shared" ref="D53:Q53" si="18">D47+D51</f>
        <v>17862</v>
      </c>
      <c r="E53" s="54">
        <f t="shared" si="18"/>
        <v>18629</v>
      </c>
      <c r="F53" s="54">
        <f t="shared" si="18"/>
        <v>20153</v>
      </c>
      <c r="G53" s="54">
        <f t="shared" si="18"/>
        <v>68740</v>
      </c>
      <c r="H53" s="54">
        <f t="shared" si="18"/>
        <v>70506</v>
      </c>
      <c r="I53" s="54">
        <f t="shared" si="18"/>
        <v>73077</v>
      </c>
      <c r="J53" s="54">
        <f t="shared" si="18"/>
        <v>78489</v>
      </c>
      <c r="K53" s="54">
        <f t="shared" si="18"/>
        <v>79863</v>
      </c>
      <c r="L53" s="54">
        <f t="shared" si="18"/>
        <v>79738</v>
      </c>
      <c r="M53" s="56">
        <f t="shared" si="18"/>
        <v>101270.75126457583</v>
      </c>
      <c r="N53" s="56">
        <f t="shared" si="18"/>
        <v>110150.00456818828</v>
      </c>
      <c r="O53" s="56">
        <f t="shared" si="18"/>
        <v>119029.25787180071</v>
      </c>
      <c r="P53" s="56">
        <f t="shared" si="18"/>
        <v>127908.51117541318</v>
      </c>
      <c r="Q53" s="56">
        <f t="shared" si="18"/>
        <v>136787.76447902562</v>
      </c>
    </row>
    <row r="54" spans="1:17" x14ac:dyDescent="0.35">
      <c r="B54" s="20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7" x14ac:dyDescent="0.35">
      <c r="B55" s="20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7" x14ac:dyDescent="0.35">
      <c r="B56" s="20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7" x14ac:dyDescent="0.35">
      <c r="A57" t="s">
        <v>94</v>
      </c>
      <c r="B57" s="42" t="s">
        <v>166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1:17" x14ac:dyDescent="0.35">
      <c r="B58" s="52" t="s">
        <v>175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7" x14ac:dyDescent="0.35">
      <c r="B59" s="20" t="s">
        <v>168</v>
      </c>
      <c r="C59" s="29">
        <f>Sheet2!C3</f>
        <v>6512</v>
      </c>
      <c r="D59" s="29">
        <f>Sheet2!D3</f>
        <v>7485</v>
      </c>
      <c r="E59" s="29">
        <f>Sheet2!E3</f>
        <v>8909</v>
      </c>
      <c r="F59" s="29">
        <f>Sheet2!F3</f>
        <v>9723</v>
      </c>
      <c r="G59" s="29">
        <f>Sheet2!G3</f>
        <v>11672</v>
      </c>
      <c r="H59" s="29">
        <f>Sheet2!H3</f>
        <v>12829</v>
      </c>
      <c r="I59" s="29">
        <f>Sheet2!I3</f>
        <v>14089</v>
      </c>
      <c r="J59" s="29">
        <f>Sheet2!J3</f>
        <v>14537</v>
      </c>
      <c r="K59" s="29">
        <f>Sheet2!K3</f>
        <v>14942</v>
      </c>
      <c r="L59" s="29">
        <f>Sheet2!L3</f>
        <v>15153</v>
      </c>
      <c r="M59" s="38">
        <f t="shared" ref="M59:Q68" si="19">FORECAST(M$3,$C59:$L59,$C$3:$L$3)</f>
        <v>17329.350471646132</v>
      </c>
      <c r="N59" s="38">
        <f t="shared" si="19"/>
        <v>18370.379683336025</v>
      </c>
      <c r="O59" s="38">
        <f t="shared" si="19"/>
        <v>19411.408895025947</v>
      </c>
      <c r="P59" s="38">
        <f t="shared" si="19"/>
        <v>20452.438106715839</v>
      </c>
      <c r="Q59" s="38">
        <f t="shared" si="19"/>
        <v>21493.467318405761</v>
      </c>
    </row>
    <row r="60" spans="1:17" x14ac:dyDescent="0.35">
      <c r="B60" s="47" t="s">
        <v>78</v>
      </c>
      <c r="C60" s="29">
        <f>Sheet2!C4</f>
        <v>173</v>
      </c>
      <c r="D60" s="29">
        <f>Sheet2!D4</f>
        <v>0</v>
      </c>
      <c r="E60" s="29">
        <f>Sheet2!E4</f>
        <v>0</v>
      </c>
      <c r="F60" s="29">
        <f>Sheet2!F4</f>
        <v>0</v>
      </c>
      <c r="G60" s="29">
        <f>Sheet2!G4</f>
        <v>0</v>
      </c>
      <c r="H60" s="29">
        <f>Sheet2!H4</f>
        <v>0</v>
      </c>
      <c r="I60" s="29">
        <f>Sheet2!I4</f>
        <v>0</v>
      </c>
      <c r="J60" s="29">
        <f>Sheet2!J4</f>
        <v>0</v>
      </c>
      <c r="K60" s="29">
        <f>Sheet2!K4</f>
        <v>0</v>
      </c>
      <c r="L60" s="29">
        <f>Sheet2!L4</f>
        <v>0</v>
      </c>
      <c r="M60" s="38">
        <f t="shared" si="19"/>
        <v>-34.585070920337785</v>
      </c>
      <c r="N60" s="38">
        <f t="shared" si="19"/>
        <v>-43.988190569331209</v>
      </c>
      <c r="O60" s="38">
        <f t="shared" si="19"/>
        <v>-53.391310218324406</v>
      </c>
      <c r="P60" s="38">
        <f t="shared" si="19"/>
        <v>-62.794429867317604</v>
      </c>
      <c r="Q60" s="38">
        <f t="shared" si="19"/>
        <v>-72.197549516311028</v>
      </c>
    </row>
    <row r="61" spans="1:17" x14ac:dyDescent="0.35">
      <c r="B61" s="20" t="s">
        <v>169</v>
      </c>
      <c r="C61" s="29">
        <f>Sheet2!C5</f>
        <v>37</v>
      </c>
      <c r="D61" s="29">
        <f>Sheet2!D5</f>
        <v>-146</v>
      </c>
      <c r="E61" s="29">
        <f>Sheet2!E5</f>
        <v>-195</v>
      </c>
      <c r="F61" s="29">
        <f>Sheet2!F5</f>
        <v>-331</v>
      </c>
      <c r="G61" s="29">
        <f>Sheet2!G5</f>
        <v>-543</v>
      </c>
      <c r="H61" s="29">
        <f>Sheet2!H5</f>
        <v>-758</v>
      </c>
      <c r="I61" s="29">
        <f>Sheet2!I5</f>
        <v>-339</v>
      </c>
      <c r="J61" s="29">
        <f>Sheet2!J5</f>
        <v>74</v>
      </c>
      <c r="K61" s="29">
        <f>Sheet2!K5</f>
        <v>-584</v>
      </c>
      <c r="L61" s="29">
        <f>Sheet2!L5</f>
        <v>-692</v>
      </c>
      <c r="M61" s="38">
        <f t="shared" si="19"/>
        <v>-631.64272969945523</v>
      </c>
      <c r="N61" s="38">
        <f t="shared" si="19"/>
        <v>-683.10160627929235</v>
      </c>
      <c r="O61" s="38">
        <f t="shared" si="19"/>
        <v>-734.56048285912857</v>
      </c>
      <c r="P61" s="38">
        <f t="shared" si="19"/>
        <v>-786.01935943896569</v>
      </c>
      <c r="Q61" s="38">
        <f t="shared" si="19"/>
        <v>-837.47823601880282</v>
      </c>
    </row>
    <row r="62" spans="1:17" x14ac:dyDescent="0.35">
      <c r="B62" s="20" t="s">
        <v>137</v>
      </c>
      <c r="C62" s="29">
        <f>Sheet2!C6</f>
        <v>501</v>
      </c>
      <c r="D62" s="29">
        <f>Sheet2!D6</f>
        <v>0</v>
      </c>
      <c r="E62" s="29">
        <f>Sheet2!E6</f>
        <v>0</v>
      </c>
      <c r="F62" s="29">
        <f>Sheet2!F6</f>
        <v>0</v>
      </c>
      <c r="G62" s="29">
        <f>Sheet2!G6</f>
        <v>0</v>
      </c>
      <c r="H62" s="29">
        <f>Sheet2!H6</f>
        <v>0</v>
      </c>
      <c r="I62" s="29">
        <f>Sheet2!I6</f>
        <v>0</v>
      </c>
      <c r="J62" s="29">
        <f>Sheet2!J6</f>
        <v>0</v>
      </c>
      <c r="K62" s="29">
        <f>Sheet2!K6</f>
        <v>0</v>
      </c>
      <c r="L62" s="29">
        <f>Sheet2!L6</f>
        <v>0</v>
      </c>
      <c r="M62" s="38">
        <f t="shared" si="19"/>
        <v>-100.15676607566047</v>
      </c>
      <c r="N62" s="38">
        <f t="shared" si="19"/>
        <v>-127.38776575280281</v>
      </c>
      <c r="O62" s="38">
        <f t="shared" si="19"/>
        <v>-154.61876542994514</v>
      </c>
      <c r="P62" s="38">
        <f t="shared" si="19"/>
        <v>-181.84976510708748</v>
      </c>
      <c r="Q62" s="38">
        <f t="shared" si="19"/>
        <v>-209.08076478422981</v>
      </c>
    </row>
    <row r="63" spans="1:17" x14ac:dyDescent="0.35">
      <c r="B63" s="20" t="s">
        <v>170</v>
      </c>
      <c r="C63" s="29">
        <f>Sheet2!C7</f>
        <v>0</v>
      </c>
      <c r="D63" s="29">
        <f>Sheet2!D7</f>
        <v>0</v>
      </c>
      <c r="E63" s="29">
        <f>Sheet2!E7</f>
        <v>0</v>
      </c>
      <c r="F63" s="29">
        <f>Sheet2!F7</f>
        <v>0</v>
      </c>
      <c r="G63" s="29">
        <f>Sheet2!G7</f>
        <v>0</v>
      </c>
      <c r="H63" s="29">
        <f>Sheet2!H7</f>
        <v>0</v>
      </c>
      <c r="I63" s="29">
        <f>Sheet2!I7</f>
        <v>0</v>
      </c>
      <c r="J63" s="29">
        <f>Sheet2!J7</f>
        <v>0</v>
      </c>
      <c r="K63" s="29">
        <f>Sheet2!K7</f>
        <v>0</v>
      </c>
      <c r="L63" s="29">
        <f>Sheet2!L7</f>
        <v>0</v>
      </c>
      <c r="M63" s="38">
        <f t="shared" si="19"/>
        <v>0</v>
      </c>
      <c r="N63" s="38">
        <f t="shared" si="19"/>
        <v>0</v>
      </c>
      <c r="O63" s="38">
        <f t="shared" si="19"/>
        <v>0</v>
      </c>
      <c r="P63" s="38">
        <f t="shared" si="19"/>
        <v>0</v>
      </c>
      <c r="Q63" s="38">
        <f t="shared" si="19"/>
        <v>0</v>
      </c>
    </row>
    <row r="64" spans="1:17" x14ac:dyDescent="0.35">
      <c r="B64" s="20" t="s">
        <v>140</v>
      </c>
      <c r="C64" s="29">
        <f>Sheet2!C8</f>
        <v>-46</v>
      </c>
      <c r="D64" s="29">
        <f>Sheet2!D8</f>
        <v>0</v>
      </c>
      <c r="E64" s="29">
        <f>Sheet2!E8</f>
        <v>0</v>
      </c>
      <c r="F64" s="29">
        <f>Sheet2!F8</f>
        <v>0</v>
      </c>
      <c r="G64" s="29">
        <f>Sheet2!G8</f>
        <v>0</v>
      </c>
      <c r="H64" s="29">
        <f>Sheet2!H8</f>
        <v>0</v>
      </c>
      <c r="I64" s="29">
        <f>Sheet2!I8</f>
        <v>0</v>
      </c>
      <c r="J64" s="29">
        <f>Sheet2!J8</f>
        <v>0</v>
      </c>
      <c r="K64" s="29">
        <f>Sheet2!K8</f>
        <v>0</v>
      </c>
      <c r="L64" s="29">
        <f>Sheet2!L8</f>
        <v>0</v>
      </c>
      <c r="M64" s="38">
        <f t="shared" si="19"/>
        <v>9.196030418124451</v>
      </c>
      <c r="N64" s="38">
        <f t="shared" si="19"/>
        <v>11.696281885486826</v>
      </c>
      <c r="O64" s="38">
        <f t="shared" si="19"/>
        <v>14.196533352849201</v>
      </c>
      <c r="P64" s="38">
        <f t="shared" si="19"/>
        <v>16.696784820211576</v>
      </c>
      <c r="Q64" s="38">
        <f t="shared" si="19"/>
        <v>19.197036287573951</v>
      </c>
    </row>
    <row r="65" spans="2:17" x14ac:dyDescent="0.35">
      <c r="B65" s="20" t="s">
        <v>171</v>
      </c>
      <c r="C65" s="29">
        <f>Sheet2!C9</f>
        <v>-99</v>
      </c>
      <c r="D65" s="29">
        <f>Sheet2!D9</f>
        <v>982</v>
      </c>
      <c r="E65" s="29">
        <f>Sheet2!E9</f>
        <v>-147</v>
      </c>
      <c r="F65" s="29">
        <f>Sheet2!F9</f>
        <v>742</v>
      </c>
      <c r="G65" s="29">
        <f>Sheet2!G9</f>
        <v>442</v>
      </c>
      <c r="H65" s="29">
        <f>Sheet2!H9</f>
        <v>-242</v>
      </c>
      <c r="I65" s="29">
        <f>Sheet2!I9</f>
        <v>-621</v>
      </c>
      <c r="J65" s="29">
        <f>Sheet2!J9</f>
        <v>1239</v>
      </c>
      <c r="K65" s="29">
        <f>Sheet2!K9</f>
        <v>-204</v>
      </c>
      <c r="L65" s="29">
        <f>Sheet2!L9</f>
        <v>1378</v>
      </c>
      <c r="M65" s="38">
        <f t="shared" si="19"/>
        <v>585.35922254677553</v>
      </c>
      <c r="N65" s="38">
        <f t="shared" si="19"/>
        <v>628.55701045169371</v>
      </c>
      <c r="O65" s="38">
        <f t="shared" si="19"/>
        <v>671.75479835661099</v>
      </c>
      <c r="P65" s="38">
        <f t="shared" si="19"/>
        <v>714.95258626152827</v>
      </c>
      <c r="Q65" s="38">
        <f t="shared" si="19"/>
        <v>758.15037416644554</v>
      </c>
    </row>
    <row r="66" spans="2:17" x14ac:dyDescent="0.35">
      <c r="B66" s="20" t="s">
        <v>172</v>
      </c>
      <c r="C66" s="29">
        <f>Sheet2!C10</f>
        <v>566</v>
      </c>
      <c r="D66" s="29">
        <f>Sheet2!D10</f>
        <v>836</v>
      </c>
      <c r="E66" s="29">
        <f>Sheet2!E10</f>
        <v>-342</v>
      </c>
      <c r="F66" s="29">
        <f>Sheet2!F10</f>
        <v>411</v>
      </c>
      <c r="G66" s="29">
        <f>Sheet2!G10</f>
        <v>-101</v>
      </c>
      <c r="H66" s="29">
        <f>Sheet2!H10</f>
        <v>-1000</v>
      </c>
      <c r="I66" s="29">
        <f>Sheet2!I10</f>
        <v>-960</v>
      </c>
      <c r="J66" s="29">
        <f>Sheet2!J10</f>
        <v>1313</v>
      </c>
      <c r="K66" s="29">
        <f>Sheet2!K10</f>
        <v>-788</v>
      </c>
      <c r="L66" s="29">
        <f>Sheet2!L10</f>
        <v>686</v>
      </c>
      <c r="M66" s="38">
        <f t="shared" si="19"/>
        <v>-171.82931373055362</v>
      </c>
      <c r="N66" s="38">
        <f t="shared" si="19"/>
        <v>-214.22427026424702</v>
      </c>
      <c r="O66" s="38">
        <f t="shared" si="19"/>
        <v>-256.61922679793952</v>
      </c>
      <c r="P66" s="38">
        <f t="shared" si="19"/>
        <v>-299.01418333163201</v>
      </c>
      <c r="Q66" s="38">
        <f t="shared" si="19"/>
        <v>-341.40913986532451</v>
      </c>
    </row>
    <row r="67" spans="2:17" x14ac:dyDescent="0.35">
      <c r="B67" s="20" t="s">
        <v>173</v>
      </c>
      <c r="C67" s="29">
        <f>Sheet2!C11</f>
        <v>-1859</v>
      </c>
      <c r="D67" s="29">
        <f>Sheet2!D11</f>
        <v>-2264</v>
      </c>
      <c r="E67" s="29">
        <f>Sheet2!E11</f>
        <v>-2767</v>
      </c>
      <c r="F67" s="29">
        <f>Sheet2!F11</f>
        <v>-2505</v>
      </c>
      <c r="G67" s="29">
        <f>Sheet2!G11</f>
        <v>-2407</v>
      </c>
      <c r="H67" s="29">
        <f>Sheet2!H11</f>
        <v>-2784</v>
      </c>
      <c r="I67" s="29">
        <f>Sheet2!I11</f>
        <v>-3138</v>
      </c>
      <c r="J67" s="29">
        <f>Sheet2!J11</f>
        <v>-381</v>
      </c>
      <c r="K67" s="29">
        <f>Sheet2!K11</f>
        <v>-2268</v>
      </c>
      <c r="L67" s="29">
        <f>Sheet2!L11</f>
        <v>-4840</v>
      </c>
      <c r="M67" s="38">
        <f t="shared" si="19"/>
        <v>-3094.3288836307347</v>
      </c>
      <c r="N67" s="38">
        <f t="shared" si="19"/>
        <v>-3198.1787783987638</v>
      </c>
      <c r="O67" s="38">
        <f t="shared" si="19"/>
        <v>-3302.0286731667948</v>
      </c>
      <c r="P67" s="38">
        <f t="shared" si="19"/>
        <v>-3405.8785679348239</v>
      </c>
      <c r="Q67" s="38">
        <f t="shared" si="19"/>
        <v>-3509.728462702853</v>
      </c>
    </row>
    <row r="68" spans="2:17" x14ac:dyDescent="0.35">
      <c r="B68" s="20" t="s">
        <v>174</v>
      </c>
      <c r="C68" s="29">
        <f>Sheet2!C12</f>
        <v>-21</v>
      </c>
      <c r="D68" s="29">
        <f>Sheet2!D12</f>
        <v>0</v>
      </c>
      <c r="E68" s="29">
        <f>Sheet2!E12</f>
        <v>0</v>
      </c>
      <c r="F68" s="29">
        <f>Sheet2!F12</f>
        <v>0</v>
      </c>
      <c r="G68" s="29">
        <f>Sheet2!G12</f>
        <v>0</v>
      </c>
      <c r="H68" s="29">
        <f>Sheet2!H12</f>
        <v>0</v>
      </c>
      <c r="I68" s="29">
        <f>Sheet2!I12</f>
        <v>0</v>
      </c>
      <c r="J68" s="29">
        <f>Sheet2!J12</f>
        <v>0</v>
      </c>
      <c r="K68" s="29">
        <f>Sheet2!K12</f>
        <v>0</v>
      </c>
      <c r="L68" s="29">
        <f>Sheet2!L12</f>
        <v>0</v>
      </c>
      <c r="M68" s="38">
        <f t="shared" si="19"/>
        <v>4.1981877995785908</v>
      </c>
      <c r="N68" s="38">
        <f t="shared" si="19"/>
        <v>5.3396069477222738</v>
      </c>
      <c r="O68" s="38">
        <f t="shared" si="19"/>
        <v>6.4810260958659569</v>
      </c>
      <c r="P68" s="38">
        <f t="shared" si="19"/>
        <v>7.6224452440096684</v>
      </c>
      <c r="Q68" s="38">
        <f t="shared" si="19"/>
        <v>8.7638643921533514</v>
      </c>
    </row>
    <row r="69" spans="2:17" x14ac:dyDescent="0.35">
      <c r="B69" s="53" t="s">
        <v>167</v>
      </c>
      <c r="C69" s="54">
        <f>SUM(C59:C68)</f>
        <v>5764</v>
      </c>
      <c r="D69" s="54">
        <f t="shared" ref="D69:L69" si="20">SUM(D59:D68)</f>
        <v>6893</v>
      </c>
      <c r="E69" s="54">
        <f t="shared" si="20"/>
        <v>5458</v>
      </c>
      <c r="F69" s="54">
        <f t="shared" si="20"/>
        <v>8040</v>
      </c>
      <c r="G69" s="54">
        <f t="shared" si="20"/>
        <v>9063</v>
      </c>
      <c r="H69" s="54">
        <f t="shared" si="20"/>
        <v>8045</v>
      </c>
      <c r="I69" s="54">
        <f t="shared" si="20"/>
        <v>9031</v>
      </c>
      <c r="J69" s="54">
        <f t="shared" si="20"/>
        <v>16782</v>
      </c>
      <c r="K69" s="54">
        <f t="shared" si="20"/>
        <v>11098</v>
      </c>
      <c r="L69" s="54">
        <f t="shared" si="20"/>
        <v>11685</v>
      </c>
      <c r="M69" s="56">
        <f>SUM(M59:M68)</f>
        <v>13895.561148353872</v>
      </c>
      <c r="N69" s="56">
        <f>SUM(N59:N68)</f>
        <v>14749.091971356489</v>
      </c>
      <c r="O69" s="56">
        <f>SUM(O59:O68)</f>
        <v>15602.62279435914</v>
      </c>
      <c r="P69" s="56">
        <f>SUM(P59:P68)</f>
        <v>16456.153617361768</v>
      </c>
      <c r="Q69" s="56">
        <f>SUM(Q59:Q68)</f>
        <v>17309.68444036441</v>
      </c>
    </row>
    <row r="70" spans="2:17" x14ac:dyDescent="0.35">
      <c r="B70" s="20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38"/>
      <c r="N70" s="38"/>
      <c r="O70" s="38"/>
      <c r="P70" s="38"/>
      <c r="Q70" s="38"/>
    </row>
    <row r="71" spans="2:17" x14ac:dyDescent="0.35">
      <c r="B71" s="52" t="s">
        <v>179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38"/>
      <c r="N71" s="38"/>
      <c r="O71" s="38"/>
      <c r="P71" s="38"/>
      <c r="Q71" s="38"/>
    </row>
    <row r="72" spans="2:17" x14ac:dyDescent="0.35">
      <c r="B72" s="47" t="s">
        <v>145</v>
      </c>
      <c r="C72" s="29">
        <f>Sheet2!C17</f>
        <v>-1113</v>
      </c>
      <c r="D72" s="29">
        <f>Sheet2!D17</f>
        <v>-895</v>
      </c>
      <c r="E72" s="29">
        <f>Sheet2!E17</f>
        <v>-767</v>
      </c>
      <c r="F72" s="29">
        <f>Sheet2!F17</f>
        <v>-862</v>
      </c>
      <c r="G72" s="29">
        <f>Sheet2!G17</f>
        <v>-4163</v>
      </c>
      <c r="H72" s="29">
        <f>Sheet2!H17</f>
        <v>-1228</v>
      </c>
      <c r="I72" s="29">
        <f>Sheet2!I17</f>
        <v>-1192</v>
      </c>
      <c r="J72" s="29">
        <f>Sheet2!J17</f>
        <v>-1477</v>
      </c>
      <c r="K72" s="29">
        <f>Sheet2!K17</f>
        <v>-1275</v>
      </c>
      <c r="L72" s="29">
        <f>Sheet2!L17</f>
        <v>-1361</v>
      </c>
      <c r="M72" s="38">
        <f t="shared" ref="M72:Q80" si="21">FORECAST(M$3,$C72:$L72,$C$3:$L$3)</f>
        <v>-1649.9168019675099</v>
      </c>
      <c r="N72" s="38">
        <f t="shared" si="21"/>
        <v>-1689.1742159163141</v>
      </c>
      <c r="O72" s="38">
        <f t="shared" si="21"/>
        <v>-1728.4316298651192</v>
      </c>
      <c r="P72" s="38">
        <f t="shared" si="21"/>
        <v>-1767.6890438139235</v>
      </c>
      <c r="Q72" s="38">
        <f t="shared" si="21"/>
        <v>-1806.9464577627277</v>
      </c>
    </row>
    <row r="73" spans="2:17" x14ac:dyDescent="0.35">
      <c r="B73" s="47" t="s">
        <v>146</v>
      </c>
      <c r="C73" s="29">
        <f>Sheet2!C18</f>
        <v>176</v>
      </c>
      <c r="D73" s="29">
        <f>Sheet2!D18</f>
        <v>32</v>
      </c>
      <c r="E73" s="29">
        <f>Sheet2!E18</f>
        <v>13</v>
      </c>
      <c r="F73" s="29">
        <f>Sheet2!F18</f>
        <v>52</v>
      </c>
      <c r="G73" s="29">
        <f>Sheet2!G18</f>
        <v>97</v>
      </c>
      <c r="H73" s="29">
        <f>Sheet2!H18</f>
        <v>175</v>
      </c>
      <c r="I73" s="29">
        <f>Sheet2!I18</f>
        <v>181</v>
      </c>
      <c r="J73" s="29">
        <f>Sheet2!J18</f>
        <v>20</v>
      </c>
      <c r="K73" s="29">
        <f>Sheet2!K18</f>
        <v>13</v>
      </c>
      <c r="L73" s="29">
        <f>Sheet2!L18</f>
        <v>29</v>
      </c>
      <c r="M73" s="38">
        <f t="shared" si="21"/>
        <v>46.93286866725748</v>
      </c>
      <c r="N73" s="38">
        <f t="shared" si="21"/>
        <v>41.157595674915797</v>
      </c>
      <c r="O73" s="38">
        <f t="shared" si="21"/>
        <v>35.382322682574113</v>
      </c>
      <c r="P73" s="38">
        <f t="shared" si="21"/>
        <v>29.607049690232429</v>
      </c>
      <c r="Q73" s="38">
        <f t="shared" si="21"/>
        <v>23.831776697890746</v>
      </c>
    </row>
    <row r="74" spans="2:17" x14ac:dyDescent="0.35">
      <c r="B74" s="47" t="s">
        <v>147</v>
      </c>
      <c r="C74" s="29">
        <f>Sheet2!C19</f>
        <v>-31214</v>
      </c>
      <c r="D74" s="29">
        <f>Sheet2!D19</f>
        <v>-51855</v>
      </c>
      <c r="E74" s="29">
        <f>Sheet2!E19</f>
        <v>-74365</v>
      </c>
      <c r="F74" s="29">
        <f>Sheet2!F19</f>
        <v>-36090</v>
      </c>
      <c r="G74" s="29">
        <f>Sheet2!G19</f>
        <v>-39920</v>
      </c>
      <c r="H74" s="29">
        <f>Sheet2!H19</f>
        <v>-48522</v>
      </c>
      <c r="I74" s="29">
        <f>Sheet2!I19</f>
        <v>-22649</v>
      </c>
      <c r="J74" s="29">
        <f>Sheet2!J19</f>
        <v>-21337</v>
      </c>
      <c r="K74" s="29">
        <f>Sheet2!K19</f>
        <v>-22957</v>
      </c>
      <c r="L74" s="29">
        <f>Sheet2!L19</f>
        <v>-25529</v>
      </c>
      <c r="M74" s="38">
        <f t="shared" si="21"/>
        <v>-19100.51375759294</v>
      </c>
      <c r="N74" s="38">
        <f t="shared" si="21"/>
        <v>-15776.164147318515</v>
      </c>
      <c r="O74" s="38">
        <f t="shared" si="21"/>
        <v>-12451.814537044091</v>
      </c>
      <c r="P74" s="38">
        <f t="shared" si="21"/>
        <v>-9127.4649267696659</v>
      </c>
      <c r="Q74" s="38">
        <f t="shared" si="21"/>
        <v>-5803.1153164952411</v>
      </c>
    </row>
    <row r="75" spans="2:17" x14ac:dyDescent="0.35">
      <c r="B75" s="47" t="s">
        <v>148</v>
      </c>
      <c r="C75" s="29">
        <f>Sheet2!C20</f>
        <v>30083</v>
      </c>
      <c r="D75" s="29">
        <f>Sheet2!D20</f>
        <v>52897</v>
      </c>
      <c r="E75" s="29">
        <f>Sheet2!E20</f>
        <v>74691</v>
      </c>
      <c r="F75" s="29">
        <f>Sheet2!F20</f>
        <v>37690</v>
      </c>
      <c r="G75" s="29">
        <f>Sheet2!G20</f>
        <v>38486</v>
      </c>
      <c r="H75" s="29">
        <f>Sheet2!H20</f>
        <v>47786</v>
      </c>
      <c r="I75" s="29">
        <f>Sheet2!I20</f>
        <v>23462</v>
      </c>
      <c r="J75" s="29">
        <f>Sheet2!J20</f>
        <v>19846</v>
      </c>
      <c r="K75" s="29">
        <f>Sheet2!K20</f>
        <v>23987</v>
      </c>
      <c r="L75" s="29">
        <f>Sheet2!L20</f>
        <v>25117</v>
      </c>
      <c r="M75" s="38">
        <f t="shared" si="21"/>
        <v>18915.774771692988</v>
      </c>
      <c r="N75" s="38">
        <f t="shared" si="21"/>
        <v>15565.067286951293</v>
      </c>
      <c r="O75" s="38">
        <f t="shared" si="21"/>
        <v>12214.359802209598</v>
      </c>
      <c r="P75" s="38">
        <f t="shared" si="21"/>
        <v>8863.6523174678441</v>
      </c>
      <c r="Q75" s="38">
        <f t="shared" si="21"/>
        <v>5512.9448327261489</v>
      </c>
    </row>
    <row r="76" spans="2:17" x14ac:dyDescent="0.35">
      <c r="B76" s="47" t="s">
        <v>149</v>
      </c>
      <c r="C76" s="29">
        <f>Sheet2!C21</f>
        <v>264</v>
      </c>
      <c r="D76" s="29">
        <f>Sheet2!D21</f>
        <v>297</v>
      </c>
      <c r="E76" s="29">
        <f>Sheet2!E21</f>
        <v>289</v>
      </c>
      <c r="F76" s="29">
        <f>Sheet2!F21</f>
        <v>351</v>
      </c>
      <c r="G76" s="29">
        <f>Sheet2!G21</f>
        <v>277</v>
      </c>
      <c r="H76" s="29">
        <f>Sheet2!H21</f>
        <v>161</v>
      </c>
      <c r="I76" s="29">
        <f>Sheet2!I21</f>
        <v>259</v>
      </c>
      <c r="J76" s="29">
        <f>Sheet2!J21</f>
        <v>425</v>
      </c>
      <c r="K76" s="29">
        <f>Sheet2!K21</f>
        <v>835</v>
      </c>
      <c r="L76" s="29">
        <f>Sheet2!L21</f>
        <v>428</v>
      </c>
      <c r="M76" s="38">
        <f t="shared" si="21"/>
        <v>542.9211051735042</v>
      </c>
      <c r="N76" s="38">
        <f t="shared" si="21"/>
        <v>576.32557730850795</v>
      </c>
      <c r="O76" s="38">
        <f t="shared" si="21"/>
        <v>609.7300494435126</v>
      </c>
      <c r="P76" s="38">
        <f t="shared" si="21"/>
        <v>643.13452157851634</v>
      </c>
      <c r="Q76" s="38">
        <f t="shared" si="21"/>
        <v>676.53899371352009</v>
      </c>
    </row>
    <row r="77" spans="2:17" x14ac:dyDescent="0.35">
      <c r="B77" s="47" t="s">
        <v>150</v>
      </c>
      <c r="C77" s="29">
        <f>Sheet2!C22</f>
        <v>14</v>
      </c>
      <c r="D77" s="29">
        <f>Sheet2!D22</f>
        <v>0</v>
      </c>
      <c r="E77" s="29">
        <f>Sheet2!E22</f>
        <v>1</v>
      </c>
      <c r="F77" s="29">
        <f>Sheet2!F22</f>
        <v>1</v>
      </c>
      <c r="G77" s="29">
        <f>Sheet2!G22</f>
        <v>1</v>
      </c>
      <c r="H77" s="29">
        <f>Sheet2!H22</f>
        <v>1</v>
      </c>
      <c r="I77" s="29">
        <f>Sheet2!I22</f>
        <v>2</v>
      </c>
      <c r="J77" s="29">
        <f>Sheet2!J22</f>
        <v>3</v>
      </c>
      <c r="K77" s="29">
        <f>Sheet2!K22</f>
        <v>0</v>
      </c>
      <c r="L77" s="29">
        <f>Sheet2!L22</f>
        <v>5</v>
      </c>
      <c r="M77" s="38">
        <f t="shared" si="21"/>
        <v>0.53408672237335253</v>
      </c>
      <c r="N77" s="38">
        <f t="shared" si="21"/>
        <v>0.12343577238276282</v>
      </c>
      <c r="O77" s="38">
        <f t="shared" si="21"/>
        <v>-0.28721517760782689</v>
      </c>
      <c r="P77" s="38">
        <f t="shared" si="21"/>
        <v>-0.6978661275984166</v>
      </c>
      <c r="Q77" s="38">
        <f t="shared" si="21"/>
        <v>-1.1085170775890063</v>
      </c>
    </row>
    <row r="78" spans="2:17" x14ac:dyDescent="0.35">
      <c r="B78" s="47" t="s">
        <v>151</v>
      </c>
      <c r="C78" s="29">
        <f>Sheet2!C23</f>
        <v>20</v>
      </c>
      <c r="D78" s="29">
        <f>Sheet2!D23</f>
        <v>73</v>
      </c>
      <c r="E78" s="29">
        <f>Sheet2!E23</f>
        <v>0</v>
      </c>
      <c r="F78" s="29">
        <f>Sheet2!F23</f>
        <v>0</v>
      </c>
      <c r="G78" s="29">
        <f>Sheet2!G23</f>
        <v>0</v>
      </c>
      <c r="H78" s="29">
        <f>Sheet2!H23</f>
        <v>0</v>
      </c>
      <c r="I78" s="29">
        <f>Sheet2!I23</f>
        <v>0</v>
      </c>
      <c r="J78" s="29">
        <f>Sheet2!J23</f>
        <v>0</v>
      </c>
      <c r="K78" s="29">
        <f>Sheet2!K23</f>
        <v>0</v>
      </c>
      <c r="L78" s="29">
        <f>Sheet2!L23</f>
        <v>298</v>
      </c>
      <c r="M78" s="38">
        <f t="shared" si="21"/>
        <v>105.44461592954326</v>
      </c>
      <c r="N78" s="38">
        <f t="shared" si="21"/>
        <v>117.46823564492956</v>
      </c>
      <c r="O78" s="38">
        <f t="shared" si="21"/>
        <v>129.49185536031609</v>
      </c>
      <c r="P78" s="38">
        <f t="shared" si="21"/>
        <v>141.51547507570262</v>
      </c>
      <c r="Q78" s="38">
        <f t="shared" si="21"/>
        <v>153.53909479108893</v>
      </c>
    </row>
    <row r="79" spans="2:17" x14ac:dyDescent="0.35">
      <c r="B79" s="47" t="s">
        <v>152</v>
      </c>
      <c r="C79" s="29">
        <f>Sheet2!C24</f>
        <v>0</v>
      </c>
      <c r="D79" s="29">
        <f>Sheet2!D24</f>
        <v>0</v>
      </c>
      <c r="E79" s="29">
        <f>Sheet2!E24</f>
        <v>0</v>
      </c>
      <c r="F79" s="29">
        <f>Sheet2!F24</f>
        <v>0</v>
      </c>
      <c r="G79" s="29">
        <f>Sheet2!G24</f>
        <v>0</v>
      </c>
      <c r="H79" s="29">
        <f>Sheet2!H24</f>
        <v>0</v>
      </c>
      <c r="I79" s="29">
        <f>Sheet2!I24</f>
        <v>-334</v>
      </c>
      <c r="J79" s="29">
        <f>Sheet2!J24</f>
        <v>0</v>
      </c>
      <c r="K79" s="29">
        <f>Sheet2!K24</f>
        <v>0</v>
      </c>
      <c r="L79" s="29">
        <f>Sheet2!L24</f>
        <v>0</v>
      </c>
      <c r="M79" s="38">
        <f t="shared" si="21"/>
        <v>-66.770075824530636</v>
      </c>
      <c r="N79" s="38">
        <f t="shared" si="21"/>
        <v>-72.817727106646203</v>
      </c>
      <c r="O79" s="38">
        <f t="shared" si="21"/>
        <v>-78.865378388761769</v>
      </c>
      <c r="P79" s="38">
        <f t="shared" si="21"/>
        <v>-84.913029670877336</v>
      </c>
      <c r="Q79" s="38">
        <f t="shared" si="21"/>
        <v>-90.960680952992902</v>
      </c>
    </row>
    <row r="80" spans="2:17" x14ac:dyDescent="0.35">
      <c r="B80" s="47" t="s">
        <v>153</v>
      </c>
      <c r="C80" s="29">
        <f>Sheet2!C25</f>
        <v>597</v>
      </c>
      <c r="D80" s="29">
        <f>Sheet2!D25</f>
        <v>-1612</v>
      </c>
      <c r="E80" s="29">
        <f>Sheet2!E25</f>
        <v>-300</v>
      </c>
      <c r="F80" s="29">
        <f>Sheet2!F25</f>
        <v>649</v>
      </c>
      <c r="G80" s="29">
        <f>Sheet2!G25</f>
        <v>3994</v>
      </c>
      <c r="H80" s="29">
        <f>Sheet2!H25</f>
        <v>-101</v>
      </c>
      <c r="I80" s="29">
        <f>Sheet2!I25</f>
        <v>-1213</v>
      </c>
      <c r="J80" s="29">
        <f>Sheet2!J25</f>
        <v>-2804</v>
      </c>
      <c r="K80" s="29">
        <f>Sheet2!K25</f>
        <v>5870</v>
      </c>
      <c r="L80" s="29">
        <f>Sheet2!L25</f>
        <v>-2663</v>
      </c>
      <c r="M80" s="38">
        <f t="shared" si="21"/>
        <v>269.7552984021068</v>
      </c>
      <c r="N80" s="38">
        <f t="shared" si="21"/>
        <v>274.83975377595146</v>
      </c>
      <c r="O80" s="38">
        <f t="shared" si="21"/>
        <v>279.92420914979613</v>
      </c>
      <c r="P80" s="38">
        <f t="shared" si="21"/>
        <v>285.00866452364068</v>
      </c>
      <c r="Q80" s="38">
        <f t="shared" si="21"/>
        <v>290.09311989748534</v>
      </c>
    </row>
    <row r="81" spans="2:17" x14ac:dyDescent="0.35">
      <c r="B81" s="53" t="s">
        <v>178</v>
      </c>
      <c r="C81" s="54">
        <f>SUM(C72:C80)</f>
        <v>-1173</v>
      </c>
      <c r="D81" s="54">
        <f t="shared" ref="D81:L81" si="22">SUM(D72:D80)</f>
        <v>-1063</v>
      </c>
      <c r="E81" s="54">
        <f t="shared" si="22"/>
        <v>-438</v>
      </c>
      <c r="F81" s="54">
        <f t="shared" si="22"/>
        <v>1791</v>
      </c>
      <c r="G81" s="54">
        <f t="shared" si="22"/>
        <v>-1228</v>
      </c>
      <c r="H81" s="54">
        <f t="shared" si="22"/>
        <v>-1728</v>
      </c>
      <c r="I81" s="54">
        <f t="shared" si="22"/>
        <v>-1484</v>
      </c>
      <c r="J81" s="54">
        <f t="shared" si="22"/>
        <v>-5324</v>
      </c>
      <c r="K81" s="54">
        <f t="shared" si="22"/>
        <v>6473</v>
      </c>
      <c r="L81" s="54">
        <f t="shared" si="22"/>
        <v>-3676</v>
      </c>
      <c r="M81" s="56">
        <f>SUM(M72:M80)</f>
        <v>-935.83788879720805</v>
      </c>
      <c r="N81" s="56">
        <f>SUM(N72:N80)</f>
        <v>-963.17420521349368</v>
      </c>
      <c r="O81" s="56">
        <f>SUM(O72:O80)</f>
        <v>-990.51052162978363</v>
      </c>
      <c r="P81" s="56">
        <f>SUM(P72:P80)</f>
        <v>-1017.8468380461295</v>
      </c>
      <c r="Q81" s="56">
        <f>SUM(Q72:Q80)</f>
        <v>-1045.183154462417</v>
      </c>
    </row>
    <row r="82" spans="2:17" x14ac:dyDescent="0.35">
      <c r="B82" s="20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38"/>
      <c r="N82" s="38"/>
      <c r="O82" s="38"/>
      <c r="P82" s="38"/>
      <c r="Q82" s="38"/>
    </row>
    <row r="83" spans="2:17" x14ac:dyDescent="0.35">
      <c r="B83" s="52" t="s">
        <v>181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38"/>
      <c r="N83" s="38"/>
      <c r="O83" s="38"/>
      <c r="P83" s="38"/>
      <c r="Q83" s="38"/>
    </row>
    <row r="84" spans="2:17" x14ac:dyDescent="0.35">
      <c r="B84" s="47" t="s">
        <v>154</v>
      </c>
      <c r="C84" s="29">
        <f>Sheet2!C27</f>
        <v>0</v>
      </c>
      <c r="D84" s="29">
        <f>Sheet2!D27</f>
        <v>0</v>
      </c>
      <c r="E84" s="29">
        <f>Sheet2!E27</f>
        <v>0</v>
      </c>
      <c r="F84" s="29">
        <f>Sheet2!F27</f>
        <v>0</v>
      </c>
      <c r="G84" s="29">
        <f>Sheet2!G27</f>
        <v>0</v>
      </c>
      <c r="H84" s="29">
        <f>Sheet2!H27</f>
        <v>0</v>
      </c>
      <c r="I84" s="29">
        <f>Sheet2!I27</f>
        <v>0</v>
      </c>
      <c r="J84" s="29">
        <f>Sheet2!J27</f>
        <v>0</v>
      </c>
      <c r="K84" s="29">
        <f>Sheet2!K27</f>
        <v>0</v>
      </c>
      <c r="L84" s="29">
        <f>Sheet2!L27</f>
        <v>0</v>
      </c>
      <c r="M84" s="38">
        <f t="shared" ref="M84:Q93" si="23">FORECAST(M$3,$C84:$L84,$C$3:$L$3)</f>
        <v>0</v>
      </c>
      <c r="N84" s="38">
        <f t="shared" si="23"/>
        <v>0</v>
      </c>
      <c r="O84" s="38">
        <f t="shared" si="23"/>
        <v>0</v>
      </c>
      <c r="P84" s="38">
        <f t="shared" si="23"/>
        <v>0</v>
      </c>
      <c r="Q84" s="38">
        <f t="shared" si="23"/>
        <v>0</v>
      </c>
    </row>
    <row r="85" spans="2:17" x14ac:dyDescent="0.35">
      <c r="B85" s="47" t="s">
        <v>155</v>
      </c>
      <c r="C85" s="29">
        <f>Sheet2!C28</f>
        <v>460</v>
      </c>
      <c r="D85" s="29">
        <f>Sheet2!D28</f>
        <v>0</v>
      </c>
      <c r="E85" s="29">
        <f>Sheet2!E28</f>
        <v>99</v>
      </c>
      <c r="F85" s="29">
        <f>Sheet2!F28</f>
        <v>0</v>
      </c>
      <c r="G85" s="29">
        <f>Sheet2!G28</f>
        <v>188</v>
      </c>
      <c r="H85" s="29">
        <f>Sheet2!H28</f>
        <v>55</v>
      </c>
      <c r="I85" s="29">
        <f>Sheet2!I28</f>
        <v>286</v>
      </c>
      <c r="J85" s="29">
        <f>Sheet2!J28</f>
        <v>0</v>
      </c>
      <c r="K85" s="29">
        <f>Sheet2!K28</f>
        <v>0</v>
      </c>
      <c r="L85" s="29">
        <f>Sheet2!L28</f>
        <v>0</v>
      </c>
      <c r="M85" s="38">
        <f t="shared" si="23"/>
        <v>-21.518572328632217</v>
      </c>
      <c r="N85" s="38">
        <f t="shared" si="23"/>
        <v>-45.136177669743574</v>
      </c>
      <c r="O85" s="38">
        <f t="shared" si="23"/>
        <v>-68.753783010854931</v>
      </c>
      <c r="P85" s="38">
        <f t="shared" si="23"/>
        <v>-92.371388351966289</v>
      </c>
      <c r="Q85" s="38">
        <f t="shared" si="23"/>
        <v>-115.98899369307765</v>
      </c>
    </row>
    <row r="86" spans="2:17" x14ac:dyDescent="0.35">
      <c r="B86" s="47" t="s">
        <v>156</v>
      </c>
      <c r="C86" s="29">
        <f>Sheet2!C29</f>
        <v>-360</v>
      </c>
      <c r="D86" s="29">
        <f>Sheet2!D29</f>
        <v>-277</v>
      </c>
      <c r="E86" s="29">
        <f>Sheet2!E29</f>
        <v>0</v>
      </c>
      <c r="F86" s="29">
        <f>Sheet2!F29</f>
        <v>-99</v>
      </c>
      <c r="G86" s="29">
        <f>Sheet2!G29</f>
        <v>-188</v>
      </c>
      <c r="H86" s="29">
        <f>Sheet2!H29</f>
        <v>-55</v>
      </c>
      <c r="I86" s="29">
        <f>Sheet2!I29</f>
        <v>-208</v>
      </c>
      <c r="J86" s="29">
        <f>Sheet2!J29</f>
        <v>-85</v>
      </c>
      <c r="K86" s="29">
        <f>Sheet2!K29</f>
        <v>0</v>
      </c>
      <c r="L86" s="29">
        <f>Sheet2!L29</f>
        <v>-46</v>
      </c>
      <c r="M86" s="38">
        <f t="shared" si="23"/>
        <v>6.3685192935727173</v>
      </c>
      <c r="N86" s="38">
        <f t="shared" si="23"/>
        <v>31.408768744835015</v>
      </c>
      <c r="O86" s="38">
        <f t="shared" si="23"/>
        <v>56.449018196097313</v>
      </c>
      <c r="P86" s="38">
        <f t="shared" si="23"/>
        <v>81.489267647359611</v>
      </c>
      <c r="Q86" s="38">
        <f t="shared" si="23"/>
        <v>106.52951709862191</v>
      </c>
    </row>
    <row r="87" spans="2:17" x14ac:dyDescent="0.35">
      <c r="B87" s="47" t="s">
        <v>157</v>
      </c>
      <c r="C87" s="29">
        <f>Sheet2!C30</f>
        <v>-14</v>
      </c>
      <c r="D87" s="29">
        <f>Sheet2!D30</f>
        <v>-6</v>
      </c>
      <c r="E87" s="29">
        <f>Sheet2!E30</f>
        <v>-7</v>
      </c>
      <c r="F87" s="29">
        <f>Sheet2!F30</f>
        <v>-90</v>
      </c>
      <c r="G87" s="29">
        <f>Sheet2!G30</f>
        <v>-92</v>
      </c>
      <c r="H87" s="29">
        <f>Sheet2!H30</f>
        <v>-82</v>
      </c>
      <c r="I87" s="29">
        <f>Sheet2!I30</f>
        <v>-88</v>
      </c>
      <c r="J87" s="29">
        <f>Sheet2!J30</f>
        <v>-110</v>
      </c>
      <c r="K87" s="29">
        <f>Sheet2!K30</f>
        <v>-130</v>
      </c>
      <c r="L87" s="29">
        <f>Sheet2!L30</f>
        <v>-133</v>
      </c>
      <c r="M87" s="38">
        <f t="shared" si="23"/>
        <v>-156.45699687322804</v>
      </c>
      <c r="N87" s="38">
        <f t="shared" si="23"/>
        <v>-171.18318400882913</v>
      </c>
      <c r="O87" s="38">
        <f t="shared" si="23"/>
        <v>-185.90937114443022</v>
      </c>
      <c r="P87" s="38">
        <f t="shared" si="23"/>
        <v>-200.63555828003155</v>
      </c>
      <c r="Q87" s="38">
        <f t="shared" si="23"/>
        <v>-215.36174541563264</v>
      </c>
    </row>
    <row r="88" spans="2:17" x14ac:dyDescent="0.35">
      <c r="B88" s="47" t="s">
        <v>158</v>
      </c>
      <c r="C88" s="29">
        <f>Sheet2!C31</f>
        <v>-3572</v>
      </c>
      <c r="D88" s="29">
        <f>Sheet2!D31</f>
        <v>-3911</v>
      </c>
      <c r="E88" s="29">
        <f>Sheet2!E31</f>
        <v>-4554</v>
      </c>
      <c r="F88" s="29">
        <f>Sheet2!F31</f>
        <v>-5196</v>
      </c>
      <c r="G88" s="29">
        <f>Sheet2!G31</f>
        <v>-8811</v>
      </c>
      <c r="H88" s="29">
        <f>Sheet2!H31</f>
        <v>-7526</v>
      </c>
      <c r="I88" s="29">
        <f>Sheet2!I31</f>
        <v>-8474</v>
      </c>
      <c r="J88" s="29">
        <f>Sheet2!J31</f>
        <v>-9416</v>
      </c>
      <c r="K88" s="29">
        <f>Sheet2!K31</f>
        <v>-12473</v>
      </c>
      <c r="L88" s="29">
        <f>Sheet2!L31</f>
        <v>-10124</v>
      </c>
      <c r="M88" s="38">
        <f t="shared" si="23"/>
        <v>-12463.513057309348</v>
      </c>
      <c r="N88" s="38">
        <f t="shared" si="23"/>
        <v>-13380.139371902624</v>
      </c>
      <c r="O88" s="38">
        <f t="shared" si="23"/>
        <v>-14296.765686495899</v>
      </c>
      <c r="P88" s="38">
        <f t="shared" si="23"/>
        <v>-15213.392001089174</v>
      </c>
      <c r="Q88" s="38">
        <f t="shared" si="23"/>
        <v>-16130.018315682464</v>
      </c>
    </row>
    <row r="89" spans="2:17" x14ac:dyDescent="0.35">
      <c r="B89" s="47" t="s">
        <v>159</v>
      </c>
      <c r="C89" s="29">
        <f>Sheet2!C32</f>
        <v>0</v>
      </c>
      <c r="D89" s="29">
        <f>Sheet2!D32</f>
        <v>0</v>
      </c>
      <c r="E89" s="29">
        <f>Sheet2!E32</f>
        <v>0</v>
      </c>
      <c r="F89" s="29">
        <f>Sheet2!F32</f>
        <v>-373</v>
      </c>
      <c r="G89" s="29">
        <f>Sheet2!G32</f>
        <v>-406</v>
      </c>
      <c r="H89" s="29">
        <f>Sheet2!H32</f>
        <v>-407</v>
      </c>
      <c r="I89" s="29">
        <f>Sheet2!I32</f>
        <v>-467</v>
      </c>
      <c r="J89" s="29">
        <f>Sheet2!J32</f>
        <v>-423</v>
      </c>
      <c r="K89" s="29">
        <f>Sheet2!K32</f>
        <v>-498</v>
      </c>
      <c r="L89" s="29">
        <f>Sheet2!L32</f>
        <v>-507</v>
      </c>
      <c r="M89" s="38">
        <f t="shared" si="23"/>
        <v>-656.28192769869293</v>
      </c>
      <c r="N89" s="38">
        <f t="shared" si="23"/>
        <v>-719.38285957936296</v>
      </c>
      <c r="O89" s="38">
        <f t="shared" si="23"/>
        <v>-782.48379146003208</v>
      </c>
      <c r="P89" s="38">
        <f t="shared" si="23"/>
        <v>-845.5847233407012</v>
      </c>
      <c r="Q89" s="38">
        <f t="shared" si="23"/>
        <v>-908.68565522136942</v>
      </c>
    </row>
    <row r="90" spans="2:17" x14ac:dyDescent="0.35">
      <c r="B90" s="47" t="s">
        <v>160</v>
      </c>
      <c r="C90" s="29">
        <f>Sheet2!C33</f>
        <v>-728</v>
      </c>
      <c r="D90" s="29">
        <f>Sheet2!D33</f>
        <v>-781</v>
      </c>
      <c r="E90" s="29">
        <f>Sheet2!E33</f>
        <v>-928</v>
      </c>
      <c r="F90" s="29">
        <f>Sheet2!F33</f>
        <v>-1061</v>
      </c>
      <c r="G90" s="29">
        <f>Sheet2!G33</f>
        <v>0</v>
      </c>
      <c r="H90" s="29">
        <f>Sheet2!H33</f>
        <v>0</v>
      </c>
      <c r="I90" s="29">
        <f>Sheet2!I33</f>
        <v>-2</v>
      </c>
      <c r="J90" s="29">
        <f>Sheet2!J33</f>
        <v>0</v>
      </c>
      <c r="K90" s="29">
        <f>Sheet2!K33</f>
        <v>0</v>
      </c>
      <c r="L90" s="29">
        <f>Sheet2!L33</f>
        <v>0</v>
      </c>
      <c r="M90" s="38">
        <f t="shared" si="23"/>
        <v>311.05232420032735</v>
      </c>
      <c r="N90" s="38">
        <f t="shared" si="23"/>
        <v>430.85468716219839</v>
      </c>
      <c r="O90" s="38">
        <f t="shared" si="23"/>
        <v>550.65705012407125</v>
      </c>
      <c r="P90" s="38">
        <f t="shared" si="23"/>
        <v>670.45941308594229</v>
      </c>
      <c r="Q90" s="38">
        <f t="shared" si="23"/>
        <v>790.26177604781333</v>
      </c>
    </row>
    <row r="91" spans="2:17" x14ac:dyDescent="0.35">
      <c r="B91" s="53" t="s">
        <v>180</v>
      </c>
      <c r="C91" s="54">
        <f>SUM(C84:C90)</f>
        <v>-4214</v>
      </c>
      <c r="D91" s="54">
        <f t="shared" ref="D91:L91" si="24">SUM(D84:D90)</f>
        <v>-4975</v>
      </c>
      <c r="E91" s="54">
        <f t="shared" si="24"/>
        <v>-5390</v>
      </c>
      <c r="F91" s="54">
        <f t="shared" si="24"/>
        <v>-6819</v>
      </c>
      <c r="G91" s="54">
        <f t="shared" si="24"/>
        <v>-9309</v>
      </c>
      <c r="H91" s="54">
        <f t="shared" si="24"/>
        <v>-8015</v>
      </c>
      <c r="I91" s="54">
        <f t="shared" si="24"/>
        <v>-8953</v>
      </c>
      <c r="J91" s="54">
        <f t="shared" si="24"/>
        <v>-10034</v>
      </c>
      <c r="K91" s="54">
        <f t="shared" si="24"/>
        <v>-13101</v>
      </c>
      <c r="L91" s="54">
        <f t="shared" si="24"/>
        <v>-10810</v>
      </c>
      <c r="M91" s="56">
        <f t="shared" si="23"/>
        <v>-12980.349710715993</v>
      </c>
      <c r="N91" s="56">
        <f t="shared" si="23"/>
        <v>-13853.578137253528</v>
      </c>
      <c r="O91" s="56">
        <f t="shared" si="23"/>
        <v>-14726.806563791048</v>
      </c>
      <c r="P91" s="56">
        <f t="shared" si="23"/>
        <v>-15600.034990328582</v>
      </c>
      <c r="Q91" s="56">
        <f t="shared" si="23"/>
        <v>-16473.263416866102</v>
      </c>
    </row>
    <row r="92" spans="2:17" x14ac:dyDescent="0.35">
      <c r="B92" s="2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38"/>
      <c r="N92" s="38"/>
      <c r="O92" s="38"/>
      <c r="P92" s="38"/>
      <c r="Q92" s="38"/>
    </row>
    <row r="93" spans="2:17" x14ac:dyDescent="0.35">
      <c r="B93" s="53" t="s">
        <v>35</v>
      </c>
      <c r="C93" s="54">
        <f>SUM(C91,C81,C69)</f>
        <v>377</v>
      </c>
      <c r="D93" s="54">
        <f t="shared" ref="D93:L93" si="25">SUM(D91,D81,D69)</f>
        <v>855</v>
      </c>
      <c r="E93" s="54">
        <f t="shared" si="25"/>
        <v>-370</v>
      </c>
      <c r="F93" s="54">
        <f t="shared" si="25"/>
        <v>3012</v>
      </c>
      <c r="G93" s="54">
        <f t="shared" si="25"/>
        <v>-1474</v>
      </c>
      <c r="H93" s="54">
        <f t="shared" si="25"/>
        <v>-1698</v>
      </c>
      <c r="I93" s="54">
        <f t="shared" si="25"/>
        <v>-1406</v>
      </c>
      <c r="J93" s="54">
        <f t="shared" si="25"/>
        <v>1424</v>
      </c>
      <c r="K93" s="54">
        <f t="shared" si="25"/>
        <v>4470</v>
      </c>
      <c r="L93" s="54">
        <f t="shared" si="25"/>
        <v>-2801</v>
      </c>
      <c r="M93" s="56">
        <f t="shared" si="23"/>
        <v>-20.626451159296266</v>
      </c>
      <c r="N93" s="56">
        <f t="shared" si="23"/>
        <v>-67.660371110495362</v>
      </c>
      <c r="O93" s="56">
        <f t="shared" si="23"/>
        <v>-114.69429106169446</v>
      </c>
      <c r="P93" s="56">
        <f t="shared" si="23"/>
        <v>-161.72821101289446</v>
      </c>
      <c r="Q93" s="56">
        <f t="shared" si="23"/>
        <v>-208.76213096409356</v>
      </c>
    </row>
    <row r="94" spans="2:17" x14ac:dyDescent="0.35">
      <c r="B94" s="20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 spans="2:17" x14ac:dyDescent="0.35">
      <c r="B95" s="20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</row>
    <row r="96" spans="2:17" x14ac:dyDescent="0.35">
      <c r="B96" s="2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97" spans="2:17" x14ac:dyDescent="0.35">
      <c r="B97" s="20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spans="2:17" x14ac:dyDescent="0.35">
      <c r="B98" s="20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</row>
    <row r="99" spans="2:17" x14ac:dyDescent="0.35">
      <c r="B99" s="20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 spans="2:17" x14ac:dyDescent="0.35">
      <c r="B100" s="2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  <row r="101" spans="2:17" x14ac:dyDescent="0.35">
      <c r="B101" s="2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 spans="2:17" x14ac:dyDescent="0.35">
      <c r="B102" s="2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 spans="2:17" x14ac:dyDescent="0.35">
      <c r="B103" s="2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</row>
    <row r="104" spans="2:17" x14ac:dyDescent="0.35">
      <c r="B104" s="2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</row>
    <row r="105" spans="2:17" x14ac:dyDescent="0.35">
      <c r="B105" s="20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</row>
    <row r="106" spans="2:17" x14ac:dyDescent="0.35">
      <c r="B106" s="20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</row>
    <row r="107" spans="2:17" x14ac:dyDescent="0.35">
      <c r="B107" s="20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</row>
    <row r="108" spans="2:17" x14ac:dyDescent="0.35">
      <c r="B108" s="2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</row>
    <row r="109" spans="2:17" x14ac:dyDescent="0.35">
      <c r="B109" s="20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</row>
    <row r="110" spans="2:17" x14ac:dyDescent="0.35">
      <c r="B110" s="20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</row>
    <row r="111" spans="2:17" x14ac:dyDescent="0.35">
      <c r="B111" s="2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</row>
    <row r="112" spans="2:17" x14ac:dyDescent="0.35">
      <c r="B112" s="20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</row>
    <row r="113" spans="3:17" x14ac:dyDescent="0.35"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</row>
    <row r="114" spans="3:17" x14ac:dyDescent="0.35"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</row>
    <row r="115" spans="3:17" x14ac:dyDescent="0.35"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</row>
    <row r="116" spans="3:17" x14ac:dyDescent="0.35"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</row>
    <row r="117" spans="3:17" x14ac:dyDescent="0.35"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</row>
    <row r="118" spans="3:17" x14ac:dyDescent="0.35"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</row>
    <row r="119" spans="3:17" x14ac:dyDescent="0.35"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</row>
    <row r="120" spans="3:17" x14ac:dyDescent="0.35"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</row>
    <row r="121" spans="3:17" x14ac:dyDescent="0.35"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</row>
    <row r="122" spans="3:17" x14ac:dyDescent="0.35"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</row>
    <row r="123" spans="3:17" x14ac:dyDescent="0.35"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</row>
    <row r="124" spans="3:17" x14ac:dyDescent="0.35"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</row>
    <row r="125" spans="3:17" x14ac:dyDescent="0.35"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</row>
    <row r="126" spans="3:17" x14ac:dyDescent="0.35"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</row>
    <row r="127" spans="3:17" x14ac:dyDescent="0.35"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</row>
    <row r="128" spans="3:17" x14ac:dyDescent="0.35"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</row>
    <row r="129" spans="3:17" x14ac:dyDescent="0.35"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</row>
    <row r="130" spans="3:17" x14ac:dyDescent="0.35"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</row>
    <row r="131" spans="3:17" x14ac:dyDescent="0.35"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</row>
    <row r="132" spans="3:17" x14ac:dyDescent="0.35"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</row>
    <row r="133" spans="3:17" x14ac:dyDescent="0.35"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</row>
    <row r="134" spans="3:17" x14ac:dyDescent="0.35"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</row>
    <row r="135" spans="3:17" x14ac:dyDescent="0.35"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</row>
    <row r="136" spans="3:17" x14ac:dyDescent="0.35"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</row>
    <row r="137" spans="3:17" x14ac:dyDescent="0.35"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</row>
    <row r="138" spans="3:17" x14ac:dyDescent="0.35"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</row>
    <row r="139" spans="3:17" x14ac:dyDescent="0.35"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</row>
    <row r="140" spans="3:17" x14ac:dyDescent="0.35"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</row>
    <row r="141" spans="3:17" x14ac:dyDescent="0.35"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</row>
    <row r="142" spans="3:17" x14ac:dyDescent="0.35"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</row>
    <row r="143" spans="3:17" x14ac:dyDescent="0.35"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</row>
    <row r="144" spans="3:17" x14ac:dyDescent="0.35"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</row>
    <row r="145" spans="3:17" x14ac:dyDescent="0.35"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</row>
    <row r="146" spans="3:17" x14ac:dyDescent="0.35"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</row>
    <row r="147" spans="3:17" x14ac:dyDescent="0.35"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</row>
    <row r="148" spans="3:17" x14ac:dyDescent="0.35"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</row>
    <row r="149" spans="3:17" x14ac:dyDescent="0.35"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</row>
    <row r="150" spans="3:17" x14ac:dyDescent="0.35"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</row>
    <row r="151" spans="3:17" x14ac:dyDescent="0.35"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</row>
    <row r="152" spans="3:17" x14ac:dyDescent="0.35"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</row>
    <row r="153" spans="3:17" x14ac:dyDescent="0.35"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</row>
    <row r="154" spans="3:17" x14ac:dyDescent="0.35"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</row>
    <row r="155" spans="3:17" x14ac:dyDescent="0.35"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</row>
    <row r="156" spans="3:17" x14ac:dyDescent="0.35"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</row>
    <row r="157" spans="3:17" x14ac:dyDescent="0.35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</row>
    <row r="158" spans="3:17" x14ac:dyDescent="0.35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</row>
    <row r="159" spans="3:17" x14ac:dyDescent="0.35"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</row>
    <row r="160" spans="3:17" x14ac:dyDescent="0.35"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</row>
    <row r="161" spans="3:17" x14ac:dyDescent="0.35"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</row>
    <row r="162" spans="3:17" x14ac:dyDescent="0.35"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</row>
    <row r="163" spans="3:17" x14ac:dyDescent="0.35"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</row>
    <row r="164" spans="3:17" x14ac:dyDescent="0.35"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</row>
    <row r="165" spans="3:17" x14ac:dyDescent="0.35"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</row>
    <row r="166" spans="3:17" x14ac:dyDescent="0.35"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0AF2-CA90-45F6-BDF6-B92C4937BF5F}">
  <dimension ref="B1:M38"/>
  <sheetViews>
    <sheetView showGridLines="0" workbookViewId="0">
      <selection activeCell="E29" sqref="E29"/>
    </sheetView>
  </sheetViews>
  <sheetFormatPr defaultRowHeight="14.5" x14ac:dyDescent="0.35"/>
  <cols>
    <col min="1" max="1" width="2.1796875" customWidth="1"/>
    <col min="2" max="2" width="31.90625" bestFit="1" customWidth="1"/>
    <col min="3" max="9" width="10.54296875" bestFit="1" customWidth="1"/>
    <col min="10" max="12" width="11.6328125" bestFit="1" customWidth="1"/>
  </cols>
  <sheetData>
    <row r="1" spans="2:13" x14ac:dyDescent="0.35">
      <c r="B1" s="44"/>
      <c r="C1" s="45">
        <v>42795</v>
      </c>
      <c r="D1" s="45">
        <v>43160</v>
      </c>
      <c r="E1" s="45">
        <v>43525</v>
      </c>
      <c r="F1" s="45">
        <v>43891</v>
      </c>
      <c r="G1" s="45">
        <v>44256</v>
      </c>
      <c r="H1" s="45">
        <v>44621</v>
      </c>
      <c r="I1" s="45">
        <v>44986</v>
      </c>
      <c r="J1" s="45">
        <v>45352</v>
      </c>
      <c r="K1" s="45">
        <v>45717</v>
      </c>
      <c r="L1" s="45">
        <v>46082</v>
      </c>
      <c r="M1" s="43"/>
    </row>
    <row r="2" spans="2:13" ht="15" thickBot="1" x14ac:dyDescent="0.4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3" x14ac:dyDescent="0.35">
      <c r="B3" s="46" t="s">
        <v>136</v>
      </c>
      <c r="C3" s="49">
        <v>6512</v>
      </c>
      <c r="D3" s="49">
        <v>7485</v>
      </c>
      <c r="E3" s="49">
        <v>8909</v>
      </c>
      <c r="F3" s="49">
        <v>9723</v>
      </c>
      <c r="G3" s="49">
        <v>11672</v>
      </c>
      <c r="H3" s="49">
        <v>12829</v>
      </c>
      <c r="I3" s="49">
        <v>14089</v>
      </c>
      <c r="J3" s="49">
        <v>14537</v>
      </c>
      <c r="K3" s="49">
        <v>14942</v>
      </c>
      <c r="L3" s="49">
        <v>15153</v>
      </c>
    </row>
    <row r="4" spans="2:13" x14ac:dyDescent="0.35">
      <c r="B4" s="47" t="s">
        <v>78</v>
      </c>
      <c r="C4" s="50">
        <v>173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0">
        <v>0</v>
      </c>
      <c r="J4" s="50">
        <v>0</v>
      </c>
      <c r="K4" s="50">
        <v>0</v>
      </c>
      <c r="L4" s="50">
        <v>0</v>
      </c>
    </row>
    <row r="5" spans="2:13" x14ac:dyDescent="0.35">
      <c r="B5" s="47" t="s">
        <v>45</v>
      </c>
      <c r="C5" s="50">
        <v>37</v>
      </c>
      <c r="D5" s="50">
        <v>-146</v>
      </c>
      <c r="E5" s="50">
        <v>-195</v>
      </c>
      <c r="F5" s="50">
        <v>-331</v>
      </c>
      <c r="G5" s="50">
        <v>-543</v>
      </c>
      <c r="H5" s="50">
        <v>-758</v>
      </c>
      <c r="I5" s="50">
        <v>-339</v>
      </c>
      <c r="J5" s="50">
        <v>74</v>
      </c>
      <c r="K5" s="50">
        <v>-584</v>
      </c>
      <c r="L5" s="50">
        <v>-692</v>
      </c>
    </row>
    <row r="6" spans="2:13" x14ac:dyDescent="0.35">
      <c r="B6" s="47" t="s">
        <v>137</v>
      </c>
      <c r="C6" s="50">
        <v>501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</row>
    <row r="7" spans="2:13" x14ac:dyDescent="0.35">
      <c r="B7" s="47" t="s">
        <v>138</v>
      </c>
      <c r="C7" s="50">
        <v>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</row>
    <row r="8" spans="2:13" x14ac:dyDescent="0.35">
      <c r="B8" s="47" t="s">
        <v>139</v>
      </c>
      <c r="C8" s="50">
        <v>-46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</row>
    <row r="9" spans="2:13" ht="15" thickBot="1" x14ac:dyDescent="0.4">
      <c r="B9" s="47" t="s">
        <v>140</v>
      </c>
      <c r="C9" s="50">
        <v>-99</v>
      </c>
      <c r="D9" s="50">
        <v>982</v>
      </c>
      <c r="E9" s="50">
        <v>-147</v>
      </c>
      <c r="F9" s="50">
        <v>742</v>
      </c>
      <c r="G9" s="50">
        <v>442</v>
      </c>
      <c r="H9" s="50">
        <v>-242</v>
      </c>
      <c r="I9" s="50">
        <v>-621</v>
      </c>
      <c r="J9" s="50">
        <v>1239</v>
      </c>
      <c r="K9" s="50">
        <v>-204</v>
      </c>
      <c r="L9" s="50">
        <v>1378</v>
      </c>
    </row>
    <row r="10" spans="2:13" x14ac:dyDescent="0.35">
      <c r="B10" s="46" t="s">
        <v>141</v>
      </c>
      <c r="C10" s="49">
        <v>566</v>
      </c>
      <c r="D10" s="49">
        <v>836</v>
      </c>
      <c r="E10" s="49">
        <v>-342</v>
      </c>
      <c r="F10" s="49">
        <v>411</v>
      </c>
      <c r="G10" s="49">
        <v>-101</v>
      </c>
      <c r="H10" s="49">
        <v>-1000</v>
      </c>
      <c r="I10" s="49">
        <v>-960</v>
      </c>
      <c r="J10" s="49">
        <v>1313</v>
      </c>
      <c r="K10" s="49">
        <v>-788</v>
      </c>
      <c r="L10" s="49">
        <v>686</v>
      </c>
    </row>
    <row r="11" spans="2:13" x14ac:dyDescent="0.35">
      <c r="B11" s="47" t="s">
        <v>142</v>
      </c>
      <c r="C11" s="50">
        <v>-1859</v>
      </c>
      <c r="D11" s="50">
        <v>-2264</v>
      </c>
      <c r="E11" s="50">
        <v>-2767</v>
      </c>
      <c r="F11" s="50">
        <v>-2505</v>
      </c>
      <c r="G11" s="50">
        <v>-2407</v>
      </c>
      <c r="H11" s="50">
        <v>-2784</v>
      </c>
      <c r="I11" s="50">
        <v>-3138</v>
      </c>
      <c r="J11" s="50">
        <v>-381</v>
      </c>
      <c r="K11" s="50">
        <v>-2268</v>
      </c>
      <c r="L11" s="50">
        <v>-4840</v>
      </c>
    </row>
    <row r="12" spans="2:13" x14ac:dyDescent="0.35">
      <c r="B12" s="47" t="s">
        <v>143</v>
      </c>
      <c r="C12" s="50">
        <v>-21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</row>
    <row r="13" spans="2:13" ht="15" thickBot="1" x14ac:dyDescent="0.4">
      <c r="B13" s="47" t="s">
        <v>144</v>
      </c>
      <c r="C13" s="50">
        <v>-13</v>
      </c>
      <c r="D13" s="50">
        <v>2</v>
      </c>
      <c r="E13" s="50">
        <v>0</v>
      </c>
      <c r="F13" s="50">
        <v>-6</v>
      </c>
      <c r="G13" s="50">
        <v>-1</v>
      </c>
      <c r="H13" s="50">
        <v>3</v>
      </c>
      <c r="I13" s="50">
        <v>0</v>
      </c>
      <c r="J13" s="50">
        <v>0</v>
      </c>
      <c r="K13" s="50">
        <v>0</v>
      </c>
      <c r="L13" s="50">
        <v>0</v>
      </c>
    </row>
    <row r="14" spans="2:13" ht="15" thickBot="1" x14ac:dyDescent="0.4">
      <c r="B14" s="46" t="s">
        <v>163</v>
      </c>
      <c r="C14" s="49">
        <v>5185</v>
      </c>
      <c r="D14" s="49">
        <v>6059</v>
      </c>
      <c r="E14" s="49">
        <v>5800</v>
      </c>
      <c r="F14" s="49">
        <v>7623</v>
      </c>
      <c r="G14" s="49">
        <v>9163</v>
      </c>
      <c r="H14" s="49">
        <v>9048</v>
      </c>
      <c r="I14" s="49">
        <v>9991</v>
      </c>
      <c r="J14" s="49">
        <v>15469</v>
      </c>
      <c r="K14" s="49">
        <v>11886</v>
      </c>
      <c r="L14" s="49">
        <v>10999</v>
      </c>
    </row>
    <row r="15" spans="2:13" ht="15" thickBot="1" x14ac:dyDescent="0.4">
      <c r="B15" s="46"/>
      <c r="C15" s="49"/>
      <c r="D15" s="49"/>
      <c r="E15" s="49"/>
      <c r="F15" s="49"/>
      <c r="G15" s="49"/>
      <c r="H15" s="49"/>
      <c r="I15" s="49"/>
      <c r="J15" s="49"/>
      <c r="K15" s="49"/>
      <c r="L15" s="49"/>
    </row>
    <row r="16" spans="2:13" x14ac:dyDescent="0.35">
      <c r="B16" s="46" t="s">
        <v>164</v>
      </c>
      <c r="C16" s="49">
        <v>-1173</v>
      </c>
      <c r="D16" s="49">
        <v>-1063</v>
      </c>
      <c r="E16" s="49">
        <v>-438</v>
      </c>
      <c r="F16" s="49">
        <v>1791</v>
      </c>
      <c r="G16" s="49">
        <v>-1228</v>
      </c>
      <c r="H16" s="49">
        <v>-1728</v>
      </c>
      <c r="I16" s="49">
        <v>-1484</v>
      </c>
      <c r="J16" s="49">
        <v>-5324</v>
      </c>
      <c r="K16" s="49">
        <v>6473</v>
      </c>
      <c r="L16" s="49">
        <v>-3676</v>
      </c>
    </row>
    <row r="17" spans="2:12" x14ac:dyDescent="0.35">
      <c r="B17" s="47" t="s">
        <v>145</v>
      </c>
      <c r="C17" s="50">
        <v>-1113</v>
      </c>
      <c r="D17" s="50">
        <v>-895</v>
      </c>
      <c r="E17" s="50">
        <v>-767</v>
      </c>
      <c r="F17" s="50">
        <v>-862</v>
      </c>
      <c r="G17" s="50">
        <v>-4163</v>
      </c>
      <c r="H17" s="50">
        <v>-1228</v>
      </c>
      <c r="I17" s="50">
        <v>-1192</v>
      </c>
      <c r="J17" s="50">
        <v>-1477</v>
      </c>
      <c r="K17" s="50">
        <v>-1275</v>
      </c>
      <c r="L17" s="50">
        <v>-1361</v>
      </c>
    </row>
    <row r="18" spans="2:12" x14ac:dyDescent="0.35">
      <c r="B18" s="47" t="s">
        <v>146</v>
      </c>
      <c r="C18" s="50">
        <v>176</v>
      </c>
      <c r="D18" s="50">
        <v>32</v>
      </c>
      <c r="E18" s="50">
        <v>13</v>
      </c>
      <c r="F18" s="50">
        <v>52</v>
      </c>
      <c r="G18" s="50">
        <v>97</v>
      </c>
      <c r="H18" s="50">
        <v>175</v>
      </c>
      <c r="I18" s="50">
        <v>181</v>
      </c>
      <c r="J18" s="50">
        <v>20</v>
      </c>
      <c r="K18" s="50">
        <v>13</v>
      </c>
      <c r="L18" s="50">
        <v>29</v>
      </c>
    </row>
    <row r="19" spans="2:12" x14ac:dyDescent="0.35">
      <c r="B19" s="47" t="s">
        <v>147</v>
      </c>
      <c r="C19" s="50">
        <v>-31214</v>
      </c>
      <c r="D19" s="50">
        <v>-51855</v>
      </c>
      <c r="E19" s="50">
        <v>-74365</v>
      </c>
      <c r="F19" s="50">
        <v>-36090</v>
      </c>
      <c r="G19" s="50">
        <v>-39920</v>
      </c>
      <c r="H19" s="50">
        <v>-48522</v>
      </c>
      <c r="I19" s="50">
        <v>-22649</v>
      </c>
      <c r="J19" s="50">
        <v>-21337</v>
      </c>
      <c r="K19" s="50">
        <v>-22957</v>
      </c>
      <c r="L19" s="50">
        <v>-25529</v>
      </c>
    </row>
    <row r="20" spans="2:12" x14ac:dyDescent="0.35">
      <c r="B20" s="47" t="s">
        <v>148</v>
      </c>
      <c r="C20" s="50">
        <v>30083</v>
      </c>
      <c r="D20" s="50">
        <v>52897</v>
      </c>
      <c r="E20" s="50">
        <v>74691</v>
      </c>
      <c r="F20" s="50">
        <v>37690</v>
      </c>
      <c r="G20" s="50">
        <v>38486</v>
      </c>
      <c r="H20" s="50">
        <v>47786</v>
      </c>
      <c r="I20" s="50">
        <v>23462</v>
      </c>
      <c r="J20" s="50">
        <v>19846</v>
      </c>
      <c r="K20" s="50">
        <v>23987</v>
      </c>
      <c r="L20" s="50">
        <v>25117</v>
      </c>
    </row>
    <row r="21" spans="2:12" x14ac:dyDescent="0.35">
      <c r="B21" s="47" t="s">
        <v>149</v>
      </c>
      <c r="C21" s="50">
        <v>264</v>
      </c>
      <c r="D21" s="50">
        <v>297</v>
      </c>
      <c r="E21" s="50">
        <v>289</v>
      </c>
      <c r="F21" s="50">
        <v>351</v>
      </c>
      <c r="G21" s="50">
        <v>277</v>
      </c>
      <c r="H21" s="50">
        <v>161</v>
      </c>
      <c r="I21" s="50">
        <v>259</v>
      </c>
      <c r="J21" s="50">
        <v>425</v>
      </c>
      <c r="K21" s="50">
        <v>835</v>
      </c>
      <c r="L21" s="50">
        <v>428</v>
      </c>
    </row>
    <row r="22" spans="2:12" x14ac:dyDescent="0.35">
      <c r="B22" s="47" t="s">
        <v>150</v>
      </c>
      <c r="C22" s="50">
        <v>14</v>
      </c>
      <c r="D22" s="50">
        <v>0</v>
      </c>
      <c r="E22" s="50">
        <v>1</v>
      </c>
      <c r="F22" s="50">
        <v>1</v>
      </c>
      <c r="G22" s="50">
        <v>1</v>
      </c>
      <c r="H22" s="50">
        <v>1</v>
      </c>
      <c r="I22" s="50">
        <v>2</v>
      </c>
      <c r="J22" s="50">
        <v>3</v>
      </c>
      <c r="K22" s="50">
        <v>0</v>
      </c>
      <c r="L22" s="50">
        <v>5</v>
      </c>
    </row>
    <row r="23" spans="2:12" x14ac:dyDescent="0.35">
      <c r="B23" s="47" t="s">
        <v>151</v>
      </c>
      <c r="C23" s="50">
        <v>20</v>
      </c>
      <c r="D23" s="50">
        <v>73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298</v>
      </c>
    </row>
    <row r="24" spans="2:12" x14ac:dyDescent="0.35">
      <c r="B24" s="47" t="s">
        <v>152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-334</v>
      </c>
      <c r="J24" s="50">
        <v>0</v>
      </c>
      <c r="K24" s="50">
        <v>0</v>
      </c>
      <c r="L24" s="50">
        <v>0</v>
      </c>
    </row>
    <row r="25" spans="2:12" x14ac:dyDescent="0.35">
      <c r="B25" s="47" t="s">
        <v>153</v>
      </c>
      <c r="C25" s="50">
        <v>597</v>
      </c>
      <c r="D25" s="50">
        <v>-1612</v>
      </c>
      <c r="E25" s="50">
        <v>-300</v>
      </c>
      <c r="F25" s="50">
        <v>649</v>
      </c>
      <c r="G25" s="50">
        <v>3994</v>
      </c>
      <c r="H25" s="50">
        <v>-101</v>
      </c>
      <c r="I25" s="50">
        <v>-1213</v>
      </c>
      <c r="J25" s="50">
        <v>-2804</v>
      </c>
      <c r="K25" s="50">
        <v>5870</v>
      </c>
      <c r="L25" s="50">
        <v>-2663</v>
      </c>
    </row>
    <row r="26" spans="2:12" x14ac:dyDescent="0.35">
      <c r="B26" s="47"/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2:12" x14ac:dyDescent="0.35">
      <c r="B27" s="47" t="s">
        <v>154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</row>
    <row r="28" spans="2:12" x14ac:dyDescent="0.35">
      <c r="B28" s="47" t="s">
        <v>155</v>
      </c>
      <c r="C28" s="50">
        <v>460</v>
      </c>
      <c r="D28" s="50">
        <v>0</v>
      </c>
      <c r="E28" s="50">
        <v>99</v>
      </c>
      <c r="F28" s="50">
        <v>0</v>
      </c>
      <c r="G28" s="50">
        <v>188</v>
      </c>
      <c r="H28" s="50">
        <v>55</v>
      </c>
      <c r="I28" s="50">
        <v>286</v>
      </c>
      <c r="J28" s="50">
        <v>0</v>
      </c>
      <c r="K28" s="50">
        <v>0</v>
      </c>
      <c r="L28" s="50">
        <v>0</v>
      </c>
    </row>
    <row r="29" spans="2:12" x14ac:dyDescent="0.35">
      <c r="B29" s="47" t="s">
        <v>156</v>
      </c>
      <c r="C29" s="50">
        <v>-360</v>
      </c>
      <c r="D29" s="50">
        <v>-277</v>
      </c>
      <c r="E29" s="50">
        <v>0</v>
      </c>
      <c r="F29" s="50">
        <v>-99</v>
      </c>
      <c r="G29" s="50">
        <v>-188</v>
      </c>
      <c r="H29" s="50">
        <v>-55</v>
      </c>
      <c r="I29" s="50">
        <v>-208</v>
      </c>
      <c r="J29" s="50">
        <v>-85</v>
      </c>
      <c r="K29" s="50">
        <v>0</v>
      </c>
      <c r="L29" s="50">
        <v>-46</v>
      </c>
    </row>
    <row r="30" spans="2:12" x14ac:dyDescent="0.35">
      <c r="B30" s="47" t="s">
        <v>157</v>
      </c>
      <c r="C30" s="50">
        <v>-14</v>
      </c>
      <c r="D30" s="50">
        <v>-6</v>
      </c>
      <c r="E30" s="50">
        <v>-7</v>
      </c>
      <c r="F30" s="50">
        <v>-90</v>
      </c>
      <c r="G30" s="50">
        <v>-92</v>
      </c>
      <c r="H30" s="50">
        <v>-82</v>
      </c>
      <c r="I30" s="50">
        <v>-88</v>
      </c>
      <c r="J30" s="50">
        <v>-110</v>
      </c>
      <c r="K30" s="50">
        <v>-130</v>
      </c>
      <c r="L30" s="50">
        <v>-133</v>
      </c>
    </row>
    <row r="31" spans="2:12" x14ac:dyDescent="0.35">
      <c r="B31" s="47" t="s">
        <v>158</v>
      </c>
      <c r="C31" s="50">
        <v>-3572</v>
      </c>
      <c r="D31" s="50">
        <v>-3911</v>
      </c>
      <c r="E31" s="50">
        <v>-4554</v>
      </c>
      <c r="F31" s="50">
        <v>-5196</v>
      </c>
      <c r="G31" s="50">
        <v>-8811</v>
      </c>
      <c r="H31" s="50">
        <v>-7526</v>
      </c>
      <c r="I31" s="50">
        <v>-8474</v>
      </c>
      <c r="J31" s="50">
        <v>-9416</v>
      </c>
      <c r="K31" s="50">
        <v>-12473</v>
      </c>
      <c r="L31" s="50">
        <v>-10124</v>
      </c>
    </row>
    <row r="32" spans="2:12" x14ac:dyDescent="0.35">
      <c r="B32" s="47" t="s">
        <v>159</v>
      </c>
      <c r="C32" s="50">
        <v>0</v>
      </c>
      <c r="D32" s="50">
        <v>0</v>
      </c>
      <c r="E32" s="50">
        <v>0</v>
      </c>
      <c r="F32" s="50">
        <v>-373</v>
      </c>
      <c r="G32" s="50">
        <v>-406</v>
      </c>
      <c r="H32" s="50">
        <v>-407</v>
      </c>
      <c r="I32" s="50">
        <v>-467</v>
      </c>
      <c r="J32" s="50">
        <v>-423</v>
      </c>
      <c r="K32" s="50">
        <v>-498</v>
      </c>
      <c r="L32" s="50">
        <v>-507</v>
      </c>
    </row>
    <row r="33" spans="2:12" ht="15" thickBot="1" x14ac:dyDescent="0.4">
      <c r="B33" s="47" t="s">
        <v>160</v>
      </c>
      <c r="C33" s="50">
        <v>-728</v>
      </c>
      <c r="D33" s="50">
        <v>-781</v>
      </c>
      <c r="E33" s="50">
        <v>-928</v>
      </c>
      <c r="F33" s="50">
        <v>-1061</v>
      </c>
      <c r="G33" s="50">
        <v>0</v>
      </c>
      <c r="H33" s="50">
        <v>0</v>
      </c>
      <c r="I33" s="50">
        <v>-2</v>
      </c>
      <c r="J33" s="50">
        <v>0</v>
      </c>
      <c r="K33" s="50">
        <v>0</v>
      </c>
      <c r="L33" s="50">
        <v>0</v>
      </c>
    </row>
    <row r="34" spans="2:12" ht="15" thickBot="1" x14ac:dyDescent="0.4">
      <c r="B34" s="46" t="s">
        <v>165</v>
      </c>
      <c r="C34" s="49">
        <v>-4214</v>
      </c>
      <c r="D34" s="49">
        <v>-4975</v>
      </c>
      <c r="E34" s="49">
        <v>-5390</v>
      </c>
      <c r="F34" s="49">
        <v>-6819</v>
      </c>
      <c r="G34" s="49">
        <v>-9309</v>
      </c>
      <c r="H34" s="49">
        <v>-8015</v>
      </c>
      <c r="I34" s="49">
        <v>-8953</v>
      </c>
      <c r="J34" s="49">
        <v>-10034</v>
      </c>
      <c r="K34" s="49">
        <v>-13101</v>
      </c>
      <c r="L34" s="49">
        <v>-10810</v>
      </c>
    </row>
    <row r="35" spans="2:12" ht="15" thickBot="1" x14ac:dyDescent="0.4">
      <c r="B35" s="46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spans="2:12" x14ac:dyDescent="0.35">
      <c r="B36" s="46" t="s">
        <v>35</v>
      </c>
      <c r="C36" s="49">
        <v>-202</v>
      </c>
      <c r="D36" s="49">
        <v>21</v>
      </c>
      <c r="E36" s="49">
        <v>-28</v>
      </c>
      <c r="F36" s="49">
        <v>2595</v>
      </c>
      <c r="G36" s="49">
        <v>-1374</v>
      </c>
      <c r="H36" s="49">
        <v>-695</v>
      </c>
      <c r="I36" s="49">
        <v>-446</v>
      </c>
      <c r="J36" s="49">
        <v>111</v>
      </c>
      <c r="K36" s="49">
        <v>5258</v>
      </c>
      <c r="L36" s="49">
        <v>-3487</v>
      </c>
    </row>
    <row r="37" spans="2:12" x14ac:dyDescent="0.35">
      <c r="B37" s="48" t="s">
        <v>161</v>
      </c>
      <c r="C37" s="51">
        <v>4248</v>
      </c>
      <c r="D37" s="51">
        <v>5196</v>
      </c>
      <c r="E37" s="51">
        <v>5046</v>
      </c>
      <c r="F37" s="51">
        <v>6813</v>
      </c>
      <c r="G37" s="51">
        <v>5097</v>
      </c>
      <c r="H37" s="51">
        <v>7995</v>
      </c>
      <c r="I37" s="51">
        <v>8980</v>
      </c>
      <c r="J37" s="51">
        <v>14012</v>
      </c>
      <c r="K37" s="51">
        <v>10624</v>
      </c>
      <c r="L37" s="51">
        <v>9667</v>
      </c>
    </row>
    <row r="38" spans="2:12" x14ac:dyDescent="0.35">
      <c r="B38" s="48" t="s">
        <v>162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B0D3-3D7C-443B-ACB9-FCF6AC1FF9C7}">
  <dimension ref="B1:L41"/>
  <sheetViews>
    <sheetView showGridLines="0" topLeftCell="A29" workbookViewId="0">
      <selection activeCell="F46" sqref="F46"/>
    </sheetView>
  </sheetViews>
  <sheetFormatPr defaultRowHeight="14.5" x14ac:dyDescent="0.35"/>
  <cols>
    <col min="1" max="1" width="2.1796875" customWidth="1"/>
    <col min="2" max="2" width="22" bestFit="1" customWidth="1"/>
    <col min="3" max="12" width="10.6328125" bestFit="1" customWidth="1"/>
  </cols>
  <sheetData>
    <row r="1" spans="2:12" x14ac:dyDescent="0.35">
      <c r="B1" s="77" t="s">
        <v>224</v>
      </c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2:12" x14ac:dyDescent="0.35">
      <c r="B2" s="17"/>
      <c r="C2" s="12">
        <v>42825</v>
      </c>
      <c r="D2" s="12">
        <v>43190</v>
      </c>
      <c r="E2" s="12">
        <v>43555</v>
      </c>
      <c r="F2" s="12">
        <v>43921</v>
      </c>
      <c r="G2" s="12">
        <v>44286</v>
      </c>
      <c r="H2" s="12">
        <v>44651</v>
      </c>
      <c r="I2" s="12">
        <v>45016</v>
      </c>
      <c r="J2" s="12">
        <v>45382</v>
      </c>
      <c r="K2" s="12">
        <v>45747</v>
      </c>
      <c r="L2" s="12">
        <v>46112</v>
      </c>
    </row>
    <row r="3" spans="2:12" x14ac:dyDescent="0.35">
      <c r="B3" s="10" t="s">
        <v>6</v>
      </c>
      <c r="C3" s="70">
        <f>'Data Sheet'!B17/'Data Sheet'!B$17</f>
        <v>1</v>
      </c>
      <c r="D3" s="70">
        <f>'Data Sheet'!C17/'Data Sheet'!C$17</f>
        <v>1</v>
      </c>
      <c r="E3" s="70">
        <f>'Data Sheet'!D17/'Data Sheet'!D$17</f>
        <v>1</v>
      </c>
      <c r="F3" s="70">
        <f>'Data Sheet'!E17/'Data Sheet'!E$17</f>
        <v>1</v>
      </c>
      <c r="G3" s="70">
        <f>'Data Sheet'!F17/'Data Sheet'!F$17</f>
        <v>1</v>
      </c>
      <c r="H3" s="70">
        <f>'Data Sheet'!G17/'Data Sheet'!G$17</f>
        <v>1</v>
      </c>
      <c r="I3" s="70">
        <f>'Data Sheet'!H17/'Data Sheet'!H$17</f>
        <v>1</v>
      </c>
      <c r="J3" s="70">
        <f>'Data Sheet'!I17/'Data Sheet'!I$17</f>
        <v>1</v>
      </c>
      <c r="K3" s="70">
        <f>'Data Sheet'!J17/'Data Sheet'!J$17</f>
        <v>1</v>
      </c>
      <c r="L3" s="70">
        <f>'Data Sheet'!K17/'Data Sheet'!K$17</f>
        <v>1</v>
      </c>
    </row>
    <row r="4" spans="2:12" x14ac:dyDescent="0.35">
      <c r="B4" s="4" t="s">
        <v>80</v>
      </c>
      <c r="C4" s="59">
        <f>'Data Sheet'!B18/'Data Sheet'!B$17</f>
        <v>0.41028888486822268</v>
      </c>
      <c r="D4" s="59">
        <f>'Data Sheet'!C18/'Data Sheet'!C$17</f>
        <v>0.40042200028133351</v>
      </c>
      <c r="E4" s="59">
        <f>'Data Sheet'!D18/'Data Sheet'!D$17</f>
        <v>0.40307809717629101</v>
      </c>
      <c r="F4" s="59">
        <f>'Data Sheet'!E18/'Data Sheet'!E$17</f>
        <v>0.39456551793479627</v>
      </c>
      <c r="G4" s="59">
        <f>'Data Sheet'!F18/'Data Sheet'!F$17</f>
        <v>0.42827677128519182</v>
      </c>
      <c r="H4" s="59">
        <f>'Data Sheet'!G18/'Data Sheet'!G$17</f>
        <v>0.43608664149792165</v>
      </c>
      <c r="I4" s="59">
        <f>'Data Sheet'!H18/'Data Sheet'!H$17</f>
        <v>0.46924727632882141</v>
      </c>
      <c r="J4" s="59">
        <f>'Data Sheet'!I18/'Data Sheet'!I$17</f>
        <v>0.43333979578648057</v>
      </c>
      <c r="K4" s="59">
        <f>'Data Sheet'!J18/'Data Sheet'!J$17</f>
        <v>0.43376597965040437</v>
      </c>
      <c r="L4" s="59">
        <f>'Data Sheet'!K18/'Data Sheet'!K$17</f>
        <v>0.45228640565862133</v>
      </c>
    </row>
    <row r="5" spans="2:12" x14ac:dyDescent="0.35">
      <c r="B5" s="4" t="s">
        <v>81</v>
      </c>
      <c r="C5" s="59">
        <f>'Data Sheet'!B19/'Data Sheet'!B$17</f>
        <v>-4.3423195223448521E-3</v>
      </c>
      <c r="D5" s="59">
        <f>'Data Sheet'!C19/'Data Sheet'!C$17</f>
        <v>2.0256013504009003E-3</v>
      </c>
      <c r="E5" s="59">
        <f>'Data Sheet'!D19/'Data Sheet'!D$17</f>
        <v>-3.0526583566522515E-4</v>
      </c>
      <c r="F5" s="59">
        <f>'Data Sheet'!E19/'Data Sheet'!E$17</f>
        <v>2.7147273961239727E-3</v>
      </c>
      <c r="G5" s="59">
        <f>'Data Sheet'!F19/'Data Sheet'!F$17</f>
        <v>8.6118907884664454E-3</v>
      </c>
      <c r="H5" s="59">
        <f>'Data Sheet'!G19/'Data Sheet'!G$17</f>
        <v>4.1947908324753078E-4</v>
      </c>
      <c r="I5" s="59">
        <f>'Data Sheet'!H19/'Data Sheet'!H$17</f>
        <v>1.2380323539121821E-3</v>
      </c>
      <c r="J5" s="59">
        <f>'Data Sheet'!I19/'Data Sheet'!I$17</f>
        <v>1.7771746154840378E-4</v>
      </c>
      <c r="K5" s="59">
        <f>'Data Sheet'!J19/'Data Sheet'!J$17</f>
        <v>2.0382207148447692E-3</v>
      </c>
      <c r="L5" s="59">
        <f>'Data Sheet'!K19/'Data Sheet'!K$17</f>
        <v>6.6544642303158156E-3</v>
      </c>
    </row>
    <row r="6" spans="2:12" x14ac:dyDescent="0.35">
      <c r="B6" s="4" t="s">
        <v>82</v>
      </c>
      <c r="C6" s="59">
        <f>'Data Sheet'!B20/'Data Sheet'!B$17</f>
        <v>8.8957240214703574E-3</v>
      </c>
      <c r="D6" s="59">
        <f>'Data Sheet'!C20/'Data Sheet'!C$17</f>
        <v>8.2993388662259103E-3</v>
      </c>
      <c r="E6" s="59">
        <f>'Data Sheet'!D20/'Data Sheet'!D$17</f>
        <v>7.8351564487407783E-3</v>
      </c>
      <c r="F6" s="59">
        <f>'Data Sheet'!E20/'Data Sheet'!E$17</f>
        <v>7.5157730688987755E-3</v>
      </c>
      <c r="G6" s="59">
        <f>'Data Sheet'!F20/'Data Sheet'!F$17</f>
        <v>7.2084715488645061E-3</v>
      </c>
      <c r="H6" s="59">
        <f>'Data Sheet'!G20/'Data Sheet'!G$17</f>
        <v>6.0633794760324902E-3</v>
      </c>
      <c r="I6" s="59">
        <f>'Data Sheet'!H20/'Data Sheet'!H$17</f>
        <v>6.3387256520303732E-3</v>
      </c>
      <c r="J6" s="59">
        <f>'Data Sheet'!I20/'Data Sheet'!I$17</f>
        <v>7.2056352591443711E-3</v>
      </c>
      <c r="K6" s="59">
        <f>'Data Sheet'!J20/'Data Sheet'!J$17</f>
        <v>6.5712235846595354E-3</v>
      </c>
      <c r="L6" s="59">
        <f>'Data Sheet'!K20/'Data Sheet'!K$17</f>
        <v>6.6079295154185024E-3</v>
      </c>
    </row>
    <row r="7" spans="2:12" x14ac:dyDescent="0.35">
      <c r="B7" s="4" t="s">
        <v>83</v>
      </c>
      <c r="C7" s="59">
        <f>'Data Sheet'!B21/'Data Sheet'!B$17</f>
        <v>8.7057475423677699E-2</v>
      </c>
      <c r="D7" s="59">
        <f>'Data Sheet'!C21/'Data Sheet'!C$17</f>
        <v>8.4343789562526375E-2</v>
      </c>
      <c r="E7" s="59">
        <f>'Data Sheet'!D21/'Data Sheet'!D$17</f>
        <v>7.7359450521495801E-2</v>
      </c>
      <c r="F7" s="59">
        <f>'Data Sheet'!E21/'Data Sheet'!E$17</f>
        <v>7.3046276047558006E-2</v>
      </c>
      <c r="G7" s="59">
        <f>'Data Sheet'!F21/'Data Sheet'!F$17</f>
        <v>6.0984945139066091E-2</v>
      </c>
      <c r="H7" s="59">
        <f>'Data Sheet'!G21/'Data Sheet'!G$17</f>
        <v>6.3951492964191739E-2</v>
      </c>
      <c r="I7" s="59">
        <f>'Data Sheet'!H21/'Data Sheet'!H$17</f>
        <v>6.2578408715747769E-2</v>
      </c>
      <c r="J7" s="59">
        <f>'Data Sheet'!I21/'Data Sheet'!I$17</f>
        <v>5.4688509758304249E-2</v>
      </c>
      <c r="K7" s="59">
        <f>'Data Sheet'!J21/'Data Sheet'!J$17</f>
        <v>6.0119358205061313E-2</v>
      </c>
      <c r="L7" s="59">
        <f>'Data Sheet'!K21/'Data Sheet'!K$17</f>
        <v>5.1250232673574488E-2</v>
      </c>
    </row>
    <row r="8" spans="2:12" x14ac:dyDescent="0.35">
      <c r="B8" s="4" t="s">
        <v>84</v>
      </c>
      <c r="C8" s="59">
        <f>'Data Sheet'!B22/'Data Sheet'!B$17</f>
        <v>5.2560159218382488E-2</v>
      </c>
      <c r="D8" s="59">
        <f>'Data Sheet'!C22/'Data Sheet'!C$17</f>
        <v>5.2328034885356589E-2</v>
      </c>
      <c r="E8" s="59">
        <f>'Data Sheet'!D22/'Data Sheet'!D$17</f>
        <v>4.7697786822691428E-2</v>
      </c>
      <c r="F8" s="59">
        <f>'Data Sheet'!E22/'Data Sheet'!E$17</f>
        <v>4.574818389764472E-2</v>
      </c>
      <c r="G8" s="59">
        <f>'Data Sheet'!F22/'Data Sheet'!F$17</f>
        <v>5.0140341923960191E-2</v>
      </c>
      <c r="H8" s="59">
        <f>'Data Sheet'!G22/'Data Sheet'!G$17</f>
        <v>4.8526103039316627E-2</v>
      </c>
      <c r="I8" s="59">
        <f>'Data Sheet'!H22/'Data Sheet'!H$17</f>
        <v>4.7111257840871577E-2</v>
      </c>
      <c r="J8" s="59">
        <f>'Data Sheet'!I22/'Data Sheet'!I$17</f>
        <v>4.8613803799922452E-2</v>
      </c>
      <c r="K8" s="59">
        <f>'Data Sheet'!J22/'Data Sheet'!J$17</f>
        <v>4.8134620401774068E-2</v>
      </c>
      <c r="L8" s="59">
        <f>'Data Sheet'!K22/'Data Sheet'!K$17</f>
        <v>4.9249239932990012E-2</v>
      </c>
    </row>
    <row r="9" spans="2:12" x14ac:dyDescent="0.35">
      <c r="B9" s="4" t="s">
        <v>85</v>
      </c>
      <c r="C9" s="59">
        <f>'Data Sheet'!B23/'Data Sheet'!B$17</f>
        <v>0.20170677281225499</v>
      </c>
      <c r="D9" s="59">
        <f>'Data Sheet'!C23/'Data Sheet'!C$17</f>
        <v>0.20402306934871289</v>
      </c>
      <c r="E9" s="59">
        <f>'Data Sheet'!D23/'Data Sheet'!D$17</f>
        <v>0.19832103790384126</v>
      </c>
      <c r="F9" s="59">
        <f>'Data Sheet'!E23/'Data Sheet'!E$17</f>
        <v>0.19153909961541363</v>
      </c>
      <c r="G9" s="59">
        <f>'Data Sheet'!F23/'Data Sheet'!F$17</f>
        <v>0.16811261376201411</v>
      </c>
      <c r="H9" s="59">
        <f>'Data Sheet'!G23/'Data Sheet'!G$17</f>
        <v>0.15566487434694734</v>
      </c>
      <c r="I9" s="59">
        <f>'Data Sheet'!H23/'Data Sheet'!H$17</f>
        <v>0.14501485638824696</v>
      </c>
      <c r="J9" s="59">
        <f>'Data Sheet'!I23/'Data Sheet'!I$17</f>
        <v>0.1741631123174357</v>
      </c>
      <c r="K9" s="59">
        <f>'Data Sheet'!J23/'Data Sheet'!J$17</f>
        <v>0.16542199321680146</v>
      </c>
      <c r="L9" s="59">
        <f>'Data Sheet'!K23/'Data Sheet'!K$17</f>
        <v>0.16665632561891172</v>
      </c>
    </row>
    <row r="10" spans="2:12" x14ac:dyDescent="0.35">
      <c r="B10" s="4" t="s">
        <v>86</v>
      </c>
      <c r="C10" s="59">
        <f>'Data Sheet'!B24/'Data Sheet'!B$17</f>
        <v>4.4327845123937039E-2</v>
      </c>
      <c r="D10" s="59">
        <f>'Data Sheet'!C24/'Data Sheet'!C$17</f>
        <v>4.1637361091574059E-2</v>
      </c>
      <c r="E10" s="59">
        <f>'Data Sheet'!D24/'Data Sheet'!D$17</f>
        <v>3.9506486899007889E-2</v>
      </c>
      <c r="F10" s="59">
        <f>'Data Sheet'!E24/'Data Sheet'!E$17</f>
        <v>4.2430183746826534E-2</v>
      </c>
      <c r="G10" s="59">
        <f>'Data Sheet'!F24/'Data Sheet'!F$17</f>
        <v>4.6674321680700862E-2</v>
      </c>
      <c r="H10" s="59">
        <f>'Data Sheet'!G24/'Data Sheet'!G$17</f>
        <v>4.4979598062769327E-2</v>
      </c>
      <c r="I10" s="59">
        <f>'Data Sheet'!H24/'Data Sheet'!H$17</f>
        <v>3.742159128425223E-2</v>
      </c>
      <c r="J10" s="59">
        <f>'Data Sheet'!I24/'Data Sheet'!I$17</f>
        <v>4.5334108827711002E-2</v>
      </c>
      <c r="K10" s="59">
        <f>'Data Sheet'!J24/'Data Sheet'!J$17</f>
        <v>4.8362901121836679E-2</v>
      </c>
      <c r="L10" s="59">
        <f>'Data Sheet'!K24/'Data Sheet'!K$17</f>
        <v>4.7325805050567722E-2</v>
      </c>
    </row>
    <row r="11" spans="2:12" x14ac:dyDescent="0.35">
      <c r="B11" s="6" t="s">
        <v>9</v>
      </c>
      <c r="C11" s="59">
        <f>'Data Sheet'!B25/'Data Sheet'!B$17</f>
        <v>1.8273927989867923E-2</v>
      </c>
      <c r="D11" s="59">
        <f>'Data Sheet'!C25/'Data Sheet'!C$17</f>
        <v>9.9310732873821913E-3</v>
      </c>
      <c r="E11" s="59">
        <f>'Data Sheet'!D25/'Data Sheet'!D$17</f>
        <v>8.1912999236835402E-3</v>
      </c>
      <c r="F11" s="59">
        <f>'Data Sheet'!E25/'Data Sheet'!E$17</f>
        <v>1.0657818666264484E-2</v>
      </c>
      <c r="G11" s="59">
        <f>'Data Sheet'!F25/'Data Sheet'!F$17</f>
        <v>3.6148677383686313E-3</v>
      </c>
      <c r="H11" s="59">
        <f>'Data Sheet'!G25/'Data Sheet'!G$17</f>
        <v>4.1757236014186017E-3</v>
      </c>
      <c r="I11" s="59">
        <f>'Data Sheet'!H25/'Data Sheet'!H$17</f>
        <v>7.3951799273687686E-3</v>
      </c>
      <c r="J11" s="59">
        <f>'Data Sheet'!I25/'Data Sheet'!I$17</f>
        <v>1.3199560553185989E-2</v>
      </c>
      <c r="K11" s="59">
        <f>'Data Sheet'!J25/'Data Sheet'!J$17</f>
        <v>2.2094312548917298E-2</v>
      </c>
      <c r="L11" s="59">
        <f>'Data Sheet'!K25/'Data Sheet'!K$17</f>
        <v>7.6363467146491282E-2</v>
      </c>
    </row>
    <row r="12" spans="2:12" x14ac:dyDescent="0.35">
      <c r="B12" s="6" t="s">
        <v>10</v>
      </c>
      <c r="C12" s="59">
        <f>'Data Sheet'!B26/'Data Sheet'!B$17</f>
        <v>1.3026958567034558E-2</v>
      </c>
      <c r="D12" s="59">
        <f>'Data Sheet'!C26/'Data Sheet'!C$17</f>
        <v>1.4629343086228723E-2</v>
      </c>
      <c r="E12" s="59">
        <f>'Data Sheet'!D26/'Data Sheet'!D$17</f>
        <v>1.437293309590435E-2</v>
      </c>
      <c r="F12" s="59">
        <f>'Data Sheet'!E26/'Data Sheet'!E$17</f>
        <v>2.5186637508483524E-2</v>
      </c>
      <c r="G12" s="59">
        <f>'Data Sheet'!F26/'Data Sheet'!F$17</f>
        <v>2.2837458535340648E-2</v>
      </c>
      <c r="H12" s="59">
        <f>'Data Sheet'!G26/'Data Sheet'!G$17</f>
        <v>2.0802349082866187E-2</v>
      </c>
      <c r="I12" s="59">
        <f>'Data Sheet'!H26/'Data Sheet'!H$17</f>
        <v>1.8768570485308684E-2</v>
      </c>
      <c r="J12" s="59">
        <f>'Data Sheet'!I26/'Data Sheet'!I$17</f>
        <v>1.9645857567532635E-2</v>
      </c>
      <c r="K12" s="59">
        <f>'Data Sheet'!J26/'Data Sheet'!J$17</f>
        <v>2.0431124445603965E-2</v>
      </c>
      <c r="L12" s="59">
        <f>'Data Sheet'!K26/'Data Sheet'!K$17</f>
        <v>2.0676924986039586E-2</v>
      </c>
    </row>
    <row r="13" spans="2:12" x14ac:dyDescent="0.35">
      <c r="B13" s="6" t="s">
        <v>11</v>
      </c>
      <c r="C13" s="59">
        <f>'Data Sheet'!B27/'Data Sheet'!B$17</f>
        <v>1.0554248839032628E-3</v>
      </c>
      <c r="D13" s="59">
        <f>'Data Sheet'!C27/'Data Sheet'!C$17</f>
        <v>7.3146715431143621E-4</v>
      </c>
      <c r="E13" s="59">
        <f>'Data Sheet'!D27/'Data Sheet'!D$17</f>
        <v>8.3948104807936915E-4</v>
      </c>
      <c r="F13" s="59">
        <f>'Data Sheet'!E27/'Data Sheet'!E$17</f>
        <v>2.9660910439132291E-3</v>
      </c>
      <c r="G13" s="59">
        <f>'Data Sheet'!F27/'Data Sheet'!F$17</f>
        <v>2.4878795611125285E-3</v>
      </c>
      <c r="H13" s="59">
        <f>'Data Sheet'!G27/'Data Sheet'!G$17</f>
        <v>2.0211264920108303E-3</v>
      </c>
      <c r="I13" s="59">
        <f>'Data Sheet'!H27/'Data Sheet'!H$17</f>
        <v>1.881809177946517E-3</v>
      </c>
      <c r="J13" s="59">
        <f>'Data Sheet'!I27/'Data Sheet'!I$17</f>
        <v>5.3961483779242604E-3</v>
      </c>
      <c r="K13" s="59">
        <f>'Data Sheet'!J27/'Data Sheet'!J$17</f>
        <v>6.2124967388468566E-3</v>
      </c>
      <c r="L13" s="59">
        <f>'Data Sheet'!K27/'Data Sheet'!K$17</f>
        <v>6.3597443692994977E-3</v>
      </c>
    </row>
    <row r="14" spans="2:12" x14ac:dyDescent="0.35">
      <c r="B14" s="6" t="s">
        <v>12</v>
      </c>
      <c r="C14" s="59">
        <f>'Data Sheet'!B28/'Data Sheet'!B$17</f>
        <v>0.19501236354864002</v>
      </c>
      <c r="D14" s="59">
        <f>'Data Sheet'!C28/'Data Sheet'!C$17</f>
        <v>0.20554227036151357</v>
      </c>
      <c r="E14" s="59">
        <f>'Data Sheet'!D28/'Data Sheet'!D$17</f>
        <v>0.21887560417196641</v>
      </c>
      <c r="F14" s="59">
        <f>'Data Sheet'!E28/'Data Sheet'!E$17</f>
        <v>0.23037478319885379</v>
      </c>
      <c r="G14" s="59">
        <f>'Data Sheet'!F28/'Data Sheet'!F$17</f>
        <v>0.22550395509058432</v>
      </c>
      <c r="H14" s="59">
        <f>'Data Sheet'!G28/'Data Sheet'!G$17</f>
        <v>0.22649963772260992</v>
      </c>
      <c r="I14" s="59">
        <f>'Data Sheet'!H28/'Data Sheet'!H$17</f>
        <v>0.22027071640805546</v>
      </c>
      <c r="J14" s="59">
        <f>'Data Sheet'!I28/'Data Sheet'!I$17</f>
        <v>0.22499030632027917</v>
      </c>
      <c r="K14" s="59">
        <f>'Data Sheet'!J28/'Data Sheet'!J$17</f>
        <v>0.2351128358987738</v>
      </c>
      <c r="L14" s="59">
        <f>'Data Sheet'!K28/'Data Sheet'!K$17</f>
        <v>0.28260532357138424</v>
      </c>
    </row>
    <row r="15" spans="2:12" x14ac:dyDescent="0.35">
      <c r="B15" s="6" t="s">
        <v>13</v>
      </c>
      <c r="C15" s="59">
        <f>'Data Sheet'!B29/'Data Sheet'!B$17</f>
        <v>5.9616428442192872E-2</v>
      </c>
      <c r="D15" s="59">
        <f>'Data Sheet'!C29/'Data Sheet'!C$17</f>
        <v>5.8489238992825994E-2</v>
      </c>
      <c r="E15" s="59">
        <f>'Data Sheet'!D29/'Data Sheet'!D$17</f>
        <v>6.4716357161027735E-2</v>
      </c>
      <c r="F15" s="59">
        <f>'Data Sheet'!E29/'Data Sheet'!E$17</f>
        <v>6.0553502752431945E-2</v>
      </c>
      <c r="G15" s="59">
        <f>'Data Sheet'!F29/'Data Sheet'!F$17</f>
        <v>5.5413796036403846E-2</v>
      </c>
      <c r="H15" s="59">
        <f>'Data Sheet'!G29/'Data Sheet'!G$17</f>
        <v>5.6953819166380655E-2</v>
      </c>
      <c r="I15" s="59">
        <f>'Data Sheet'!H29/'Data Sheet'!H$17</f>
        <v>5.2839220864971941E-2</v>
      </c>
      <c r="J15" s="59">
        <f>'Data Sheet'!I29/'Data Sheet'!I$17</f>
        <v>5.8872948171125761E-2</v>
      </c>
      <c r="K15" s="59">
        <f>'Data Sheet'!J29/'Data Sheet'!J$17</f>
        <v>6.1114009913905559E-2</v>
      </c>
      <c r="L15" s="59">
        <f>'Data Sheet'!K29/'Data Sheet'!K$17</f>
        <v>4.9016566358503447E-2</v>
      </c>
    </row>
    <row r="16" spans="2:12" x14ac:dyDescent="0.35">
      <c r="B16" s="6" t="s">
        <v>14</v>
      </c>
      <c r="C16" s="59">
        <f>'Data Sheet'!B30/'Data Sheet'!B$17</f>
        <v>0.13497376515288584</v>
      </c>
      <c r="D16" s="59">
        <f>'Data Sheet'!C30/'Data Sheet'!C$17</f>
        <v>0.14668729779153186</v>
      </c>
      <c r="E16" s="59">
        <f>'Data Sheet'!D30/'Data Sheet'!D$17</f>
        <v>0.15400661409310609</v>
      </c>
      <c r="F16" s="59">
        <f>'Data Sheet'!E30/'Data Sheet'!E$17</f>
        <v>0.16962018952819044</v>
      </c>
      <c r="G16" s="59">
        <f>'Data Sheet'!F30/'Data Sheet'!F$17</f>
        <v>0.17000510334268945</v>
      </c>
      <c r="H16" s="59">
        <f>'Data Sheet'!G30/'Data Sheet'!G$17</f>
        <v>0.16929794455249209</v>
      </c>
      <c r="I16" s="59">
        <f>'Data Sheet'!H30/'Data Sheet'!H$17</f>
        <v>0.16705183228788378</v>
      </c>
      <c r="J16" s="59">
        <f>'Data Sheet'!I30/'Data Sheet'!I$17</f>
        <v>0.16603657748481324</v>
      </c>
      <c r="K16" s="59">
        <f>'Data Sheet'!J30/'Data Sheet'!J$17</f>
        <v>0.17364009913905556</v>
      </c>
      <c r="L16" s="59">
        <f>'Data Sheet'!K30/'Data Sheet'!K$17</f>
        <v>0.23329403735186449</v>
      </c>
    </row>
    <row r="17" spans="2:12" x14ac:dyDescent="0.35">
      <c r="B17" s="6" t="s">
        <v>70</v>
      </c>
      <c r="C17" s="59">
        <f>'Data Sheet'!B31/'Data Sheet'!B$17</f>
        <v>0.11072914781979373</v>
      </c>
      <c r="D17" s="59">
        <f>'Data Sheet'!C31/'Data Sheet'!C$17</f>
        <v>0.12153608102405401</v>
      </c>
      <c r="E17" s="59">
        <f>'Data Sheet'!D31/'Data Sheet'!D$17</f>
        <v>0.12088527092342916</v>
      </c>
      <c r="F17" s="59">
        <f>'Data Sheet'!E31/'Data Sheet'!E$17</f>
        <v>0.13573636980619863</v>
      </c>
      <c r="G17" s="59">
        <f>'Data Sheet'!F31/'Data Sheet'!F$17</f>
        <v>0.20237943352896148</v>
      </c>
      <c r="H17" s="59">
        <f>'Data Sheet'!G31/'Data Sheet'!G$17</f>
        <v>0.15234717614308049</v>
      </c>
      <c r="I17" s="59">
        <f>'Data Sheet'!H31/'Data Sheet'!H$17</f>
        <v>0.15128755364806867</v>
      </c>
      <c r="J17" s="59">
        <f>'Data Sheet'!I31/'Data Sheet'!I$17</f>
        <v>0.1594610314075223</v>
      </c>
      <c r="K17" s="59">
        <f>'Data Sheet'!J31/'Data Sheet'!J$17</f>
        <v>0.20308831202713279</v>
      </c>
      <c r="L17" s="59">
        <f>'Data Sheet'!K31/'Data Sheet'!K$17</f>
        <v>0.14945399267853818</v>
      </c>
    </row>
    <row r="18" spans="2:12" x14ac:dyDescent="0.35">
      <c r="B18" s="6" t="s">
        <v>101</v>
      </c>
      <c r="C18" s="59">
        <f>'Data Sheet'!B32/'Data Sheet'!B$17</f>
        <v>0.20909474699957784</v>
      </c>
      <c r="D18" s="59">
        <f>'Data Sheet'!C32/'Data Sheet'!C$17</f>
        <v>0.22090308060205374</v>
      </c>
      <c r="E18" s="59">
        <f>'Data Sheet'!D32/'Data Sheet'!D$17</f>
        <v>0.23408801831595014</v>
      </c>
      <c r="F18" s="59">
        <f>'Data Sheet'!E32/'Data Sheet'!E$17</f>
        <v>0.25852751175125055</v>
      </c>
      <c r="G18" s="59">
        <f>'Data Sheet'!F32/'Data Sheet'!F$17</f>
        <v>0.25082929318703751</v>
      </c>
      <c r="H18" s="59">
        <f>'Data Sheet'!G32/'Data Sheet'!G$17</f>
        <v>0.24932311329748694</v>
      </c>
      <c r="I18" s="59">
        <f>'Data Sheet'!H32/'Data Sheet'!H$17</f>
        <v>0.24092109607131065</v>
      </c>
      <c r="J18" s="59">
        <f>'Data Sheet'!I32/'Data Sheet'!I$17</f>
        <v>0.25003231226573608</v>
      </c>
      <c r="K18" s="59">
        <f>'Data Sheet'!J32/'Data Sheet'!J$17</f>
        <v>0.26175645708322465</v>
      </c>
      <c r="L18" s="59">
        <f>'Data Sheet'!K32/'Data Sheet'!K$17</f>
        <v>0.30964199292672334</v>
      </c>
    </row>
    <row r="19" spans="2:12" x14ac:dyDescent="0.35">
      <c r="B19" s="6" t="s">
        <v>195</v>
      </c>
      <c r="C19" s="59">
        <f>'Data Sheet'!B33/'Data Sheet'!B$17</f>
        <v>0.19606778843254327</v>
      </c>
      <c r="D19" s="59">
        <f>'Data Sheet'!C33/'Data Sheet'!C$17</f>
        <v>0.20627373751582501</v>
      </c>
      <c r="E19" s="59">
        <f>'Data Sheet'!D33/'Data Sheet'!D$17</f>
        <v>0.21971508522004579</v>
      </c>
      <c r="F19" s="59">
        <f>'Data Sheet'!E33/'Data Sheet'!E$17</f>
        <v>0.233340874242767</v>
      </c>
      <c r="G19" s="59">
        <f>'Data Sheet'!F33/'Data Sheet'!F$17</f>
        <v>0.22799183465169687</v>
      </c>
      <c r="H19" s="59">
        <f>'Data Sheet'!G33/'Data Sheet'!G$17</f>
        <v>0.22852076421462075</v>
      </c>
      <c r="I19" s="59">
        <f>'Data Sheet'!H33/'Data Sheet'!H$17</f>
        <v>0.22215252558600199</v>
      </c>
      <c r="J19" s="59">
        <f>'Data Sheet'!I33/'Data Sheet'!I$17</f>
        <v>0.23038645469820343</v>
      </c>
      <c r="K19" s="59">
        <f>'Data Sheet'!J33/'Data Sheet'!J$17</f>
        <v>0.24132533263762065</v>
      </c>
      <c r="L19" s="59">
        <f>'Data Sheet'!K33/'Data Sheet'!K$17</f>
        <v>0.28896506794068377</v>
      </c>
    </row>
    <row r="22" spans="2:12" x14ac:dyDescent="0.35">
      <c r="B22" s="77" t="s">
        <v>225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2:12" x14ac:dyDescent="0.35">
      <c r="B23" s="52" t="s">
        <v>135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2:12" x14ac:dyDescent="0.35">
      <c r="B24" s="20" t="s">
        <v>134</v>
      </c>
      <c r="C24" s="71">
        <f>'Financial Statements'!C36/'Financial Statements'!C$41</f>
        <v>1.3752705972239909E-2</v>
      </c>
      <c r="D24" s="71">
        <f>'Financial Statements'!D36/'Financial Statements'!D$41</f>
        <v>1.2092710782667115E-2</v>
      </c>
      <c r="E24" s="71">
        <f>'Financial Statements'!E36/'Financial Statements'!E$41</f>
        <v>1.1594825272424714E-2</v>
      </c>
      <c r="F24" s="71">
        <f>'Financial Statements'!F36/'Financial Statements'!F$41</f>
        <v>1.0718007244578972E-2</v>
      </c>
      <c r="G24" s="71">
        <f>'Financial Statements'!G36/'Financial Statements'!G$41</f>
        <v>3.4186790805935409E-3</v>
      </c>
      <c r="H24" s="71">
        <f>'Financial Statements'!H36/'Financial Statements'!H$41</f>
        <v>3.3330496695316712E-3</v>
      </c>
      <c r="I24" s="71">
        <f>'Financial Statements'!I36/'Financial Statements'!I$41</f>
        <v>3.2157860886462223E-3</v>
      </c>
      <c r="J24" s="71">
        <f>'Financial Statements'!J36/'Financial Statements'!J$41</f>
        <v>2.9940501216731007E-3</v>
      </c>
      <c r="K24" s="71">
        <f>'Financial Statements'!K36/'Financial Statements'!K$41</f>
        <v>2.9425390982056772E-3</v>
      </c>
      <c r="L24" s="71">
        <f>'Financial Statements'!L36/'Financial Statements'!L$41</f>
        <v>2.9471519225463391E-3</v>
      </c>
    </row>
    <row r="25" spans="2:12" x14ac:dyDescent="0.35">
      <c r="B25" s="20" t="s">
        <v>25</v>
      </c>
      <c r="C25" s="71">
        <f>'Financial Statements'!C37/'Financial Statements'!C$41</f>
        <v>0.41563733604991721</v>
      </c>
      <c r="D25" s="71">
        <f>'Financial Statements'!D37/'Financial Statements'!D$41</f>
        <v>0.3955324151830702</v>
      </c>
      <c r="E25" s="71">
        <f>'Financial Statements'!E37/'Financial Statements'!E$41</f>
        <v>0.41070374147834021</v>
      </c>
      <c r="F25" s="71">
        <f>'Financial Statements'!F37/'Financial Statements'!F$41</f>
        <v>0.39760829653153379</v>
      </c>
      <c r="G25" s="71">
        <f>'Financial Statements'!G37/'Financial Statements'!G$41</f>
        <v>0.69012219959266807</v>
      </c>
      <c r="H25" s="71">
        <f>'Financial Statements'!H37/'Financial Statements'!H$41</f>
        <v>0.69250843899809944</v>
      </c>
      <c r="I25" s="71">
        <f>'Financial Statements'!I37/'Financial Statements'!I$41</f>
        <v>0.68515401562735201</v>
      </c>
      <c r="J25" s="71">
        <f>'Financial Statements'!J37/'Financial Statements'!J$41</f>
        <v>0.64955598873727527</v>
      </c>
      <c r="K25" s="71">
        <f>'Financial Statements'!K37/'Financial Statements'!K$41</f>
        <v>0.6156417865594831</v>
      </c>
      <c r="L25" s="71">
        <f>'Financial Statements'!L37/'Financial Statements'!L$41</f>
        <v>0.60829215681356441</v>
      </c>
    </row>
    <row r="26" spans="2:12" x14ac:dyDescent="0.35">
      <c r="B26" s="20" t="s">
        <v>71</v>
      </c>
      <c r="C26" s="71">
        <f>'Financial Statements'!C38/'Financial Statements'!C$41</f>
        <v>1.7636572010696547E-2</v>
      </c>
      <c r="D26" s="71">
        <f>'Financial Statements'!D38/'Financial Statements'!D$41</f>
        <v>0</v>
      </c>
      <c r="E26" s="71">
        <f>'Financial Statements'!E38/'Financial Statements'!E$41</f>
        <v>5.3142949165279939E-3</v>
      </c>
      <c r="F26" s="71">
        <f>'Financial Statements'!F38/'Financial Statements'!F$41</f>
        <v>0</v>
      </c>
      <c r="G26" s="71">
        <f>'Financial Statements'!G38/'Financial Statements'!G$41</f>
        <v>0</v>
      </c>
      <c r="H26" s="71">
        <f>'Financial Statements'!H38/'Financial Statements'!H$41</f>
        <v>1.4793067256687375E-2</v>
      </c>
      <c r="I26" s="71">
        <f>'Financial Statements'!I38/'Financial Statements'!I$41</f>
        <v>1.668103507259466E-2</v>
      </c>
      <c r="J26" s="71">
        <f>'Financial Statements'!J38/'Financial Statements'!J$41</f>
        <v>1.8907108002395239E-2</v>
      </c>
      <c r="K26" s="71">
        <f>'Financial Statements'!K38/'Financial Statements'!K$41</f>
        <v>2.0635338016353005E-2</v>
      </c>
      <c r="L26" s="71">
        <f>'Financial Statements'!L38/'Financial Statements'!L$41</f>
        <v>1.8535704432014848E-2</v>
      </c>
    </row>
    <row r="27" spans="2:12" x14ac:dyDescent="0.35">
      <c r="B27" s="20" t="s">
        <v>72</v>
      </c>
      <c r="C27" s="71">
        <f>'Financial Statements'!C39/'Financial Statements'!C$41</f>
        <v>0.15911116770660894</v>
      </c>
      <c r="D27" s="71">
        <f>'Financial Statements'!D39/'Financial Statements'!D$41</f>
        <v>0.19096405777628486</v>
      </c>
      <c r="E27" s="71">
        <f>'Financial Statements'!E39/'Financial Statements'!E$41</f>
        <v>0.18557088410542702</v>
      </c>
      <c r="F27" s="71">
        <f>'Financial Statements'!F39/'Financial Statements'!F$41</f>
        <v>0.21778395276137547</v>
      </c>
      <c r="G27" s="71">
        <f>'Financial Statements'!G39/'Financial Statements'!G$41</f>
        <v>0.17841140529531568</v>
      </c>
      <c r="H27" s="71">
        <f>'Financial Statements'!H39/'Financial Statements'!H$41</f>
        <v>0.16075227640200834</v>
      </c>
      <c r="I27" s="71">
        <f>'Financial Statements'!I39/'Financial Statements'!I$41</f>
        <v>0.16393666954034786</v>
      </c>
      <c r="J27" s="71">
        <f>'Financial Statements'!J39/'Financial Statements'!J$41</f>
        <v>0.19494451451795794</v>
      </c>
      <c r="K27" s="71">
        <f>'Financial Statements'!K39/'Financial Statements'!K$41</f>
        <v>0.2191002091080976</v>
      </c>
      <c r="L27" s="71">
        <f>'Financial Statements'!L39/'Financial Statements'!L$41</f>
        <v>0.20311520228749153</v>
      </c>
    </row>
    <row r="28" spans="2:12" x14ac:dyDescent="0.35">
      <c r="B28" s="20" t="s">
        <v>188</v>
      </c>
      <c r="C28" s="71">
        <f>'Financial Statements'!C40/'Financial Statements'!C$41</f>
        <v>0.39386221826053736</v>
      </c>
      <c r="D28" s="71">
        <f>'Financial Statements'!D40/'Financial Statements'!D$41</f>
        <v>0.40141081625797781</v>
      </c>
      <c r="E28" s="71">
        <f>'Financial Statements'!E40/'Financial Statements'!E$41</f>
        <v>0.38681625422728005</v>
      </c>
      <c r="F28" s="71">
        <f>'Financial Statements'!F40/'Financial Statements'!F$41</f>
        <v>0.3738897434625118</v>
      </c>
      <c r="G28" s="71">
        <f>'Financial Statements'!G40/'Financial Statements'!G$41</f>
        <v>0.12804771603142276</v>
      </c>
      <c r="H28" s="71">
        <f>'Financial Statements'!H40/'Financial Statements'!H$41</f>
        <v>0.12861316767367317</v>
      </c>
      <c r="I28" s="71">
        <f>'Financial Statements'!I40/'Financial Statements'!I$41</f>
        <v>0.1310124936710593</v>
      </c>
      <c r="J28" s="71">
        <f>'Financial Statements'!J40/'Financial Statements'!J$41</f>
        <v>0.13359833862069845</v>
      </c>
      <c r="K28" s="71">
        <f>'Financial Statements'!K40/'Financial Statements'!K$41</f>
        <v>0.14168012721786058</v>
      </c>
      <c r="L28" s="71">
        <f>'Financial Statements'!L40/'Financial Statements'!L$41</f>
        <v>0.16710978454438286</v>
      </c>
    </row>
    <row r="29" spans="2:12" x14ac:dyDescent="0.35">
      <c r="B29" s="53" t="s">
        <v>186</v>
      </c>
      <c r="C29" s="72">
        <f>'Financial Statements'!C41/'Financial Statements'!C41</f>
        <v>1</v>
      </c>
      <c r="D29" s="72">
        <f>'Financial Statements'!D41/'Financial Statements'!D41</f>
        <v>1</v>
      </c>
      <c r="E29" s="72">
        <f>'Financial Statements'!E41/'Financial Statements'!E41</f>
        <v>1</v>
      </c>
      <c r="F29" s="72">
        <f>'Financial Statements'!F41/'Financial Statements'!F41</f>
        <v>1</v>
      </c>
      <c r="G29" s="72">
        <f>'Financial Statements'!G41/'Financial Statements'!G41</f>
        <v>1</v>
      </c>
      <c r="H29" s="72">
        <f>'Financial Statements'!H41/'Financial Statements'!H41</f>
        <v>1</v>
      </c>
      <c r="I29" s="72">
        <f>'Financial Statements'!I41/'Financial Statements'!I41</f>
        <v>1</v>
      </c>
      <c r="J29" s="72">
        <f>'Financial Statements'!J41/'Financial Statements'!J41</f>
        <v>1</v>
      </c>
      <c r="K29" s="72">
        <f>'Financial Statements'!K41/'Financial Statements'!K41</f>
        <v>1</v>
      </c>
      <c r="L29" s="72">
        <f>'Financial Statements'!L41/'Financial Statements'!L41</f>
        <v>1</v>
      </c>
    </row>
    <row r="30" spans="2:12" x14ac:dyDescent="0.35">
      <c r="B30" s="20"/>
      <c r="C30" s="29"/>
      <c r="D30" s="29"/>
      <c r="E30" s="29"/>
      <c r="F30" s="29"/>
      <c r="G30" s="29"/>
      <c r="H30" s="29"/>
      <c r="I30" s="29"/>
      <c r="J30" s="29"/>
      <c r="K30" s="29"/>
      <c r="L30" s="25"/>
    </row>
    <row r="31" spans="2:12" x14ac:dyDescent="0.35">
      <c r="B31" s="20" t="s">
        <v>27</v>
      </c>
      <c r="C31" s="71">
        <f>'Financial Statements'!C43/'Financial Statements'!C$53</f>
        <v>0.2813574430154081</v>
      </c>
      <c r="D31" s="71">
        <f>'Financial Statements'!D43/'Financial Statements'!D$53</f>
        <v>0.25349904825887359</v>
      </c>
      <c r="E31" s="71">
        <f>'Financial Statements'!E43/'Financial Statements'!E$53</f>
        <v>0.25310000536797467</v>
      </c>
      <c r="F31" s="71">
        <f>'Financial Statements'!F43/'Financial Statements'!F$53</f>
        <v>0.27187019302337123</v>
      </c>
      <c r="G31" s="71">
        <f>'Financial Statements'!G43/'Financial Statements'!G$53</f>
        <v>0.74837067209775965</v>
      </c>
      <c r="H31" s="71">
        <f>'Financial Statements'!H43/'Financial Statements'!H$53</f>
        <v>0.73005134314810083</v>
      </c>
      <c r="I31" s="71">
        <f>'Financial Statements'!I43/'Financial Statements'!I$53</f>
        <v>0.720856083309386</v>
      </c>
      <c r="J31" s="71">
        <f>'Financial Statements'!J43/'Financial Statements'!J$53</f>
        <v>0.68473289250723035</v>
      </c>
      <c r="K31" s="71">
        <f>'Financial Statements'!K43/'Financial Statements'!K$53</f>
        <v>0.68035260383406582</v>
      </c>
      <c r="L31" s="71">
        <f>'Financial Statements'!L43/'Financial Statements'!L$53</f>
        <v>0.72020868343826028</v>
      </c>
    </row>
    <row r="32" spans="2:12" x14ac:dyDescent="0.35">
      <c r="B32" s="20" t="s">
        <v>182</v>
      </c>
      <c r="C32" s="71">
        <f>'Financial Statements'!C44/'Financial Statements'!C$53</f>
        <v>1.458041512797657E-2</v>
      </c>
      <c r="D32" s="71">
        <f>'Financial Statements'!D44/'Financial Statements'!D$53</f>
        <v>2.5808979957451572E-2</v>
      </c>
      <c r="E32" s="71">
        <f>'Financial Statements'!E44/'Financial Statements'!E$53</f>
        <v>2.1793977132427936E-2</v>
      </c>
      <c r="F32" s="71">
        <f>'Financial Statements'!F44/'Financial Statements'!F$53</f>
        <v>2.9623381134322432E-2</v>
      </c>
      <c r="G32" s="71">
        <f>'Financial Statements'!G44/'Financial Statements'!G$53</f>
        <v>1.0837940064009311E-2</v>
      </c>
      <c r="H32" s="71">
        <f>'Financial Statements'!H44/'Financial Statements'!H$53</f>
        <v>1.8622528579128019E-2</v>
      </c>
      <c r="I32" s="71">
        <f>'Financial Statements'!I44/'Financial Statements'!I$53</f>
        <v>1.5490510009989463E-2</v>
      </c>
      <c r="J32" s="71">
        <f>'Financial Statements'!J44/'Financial Statements'!J$53</f>
        <v>1.305915478602097E-2</v>
      </c>
      <c r="K32" s="71">
        <f>'Financial Statements'!K44/'Financial Statements'!K$53</f>
        <v>1.263413595782778E-2</v>
      </c>
      <c r="L32" s="71">
        <f>'Financial Statements'!L44/'Financial Statements'!L$53</f>
        <v>1.1036143369535227E-2</v>
      </c>
    </row>
    <row r="33" spans="2:12" x14ac:dyDescent="0.35">
      <c r="B33" s="20" t="s">
        <v>29</v>
      </c>
      <c r="C33" s="71">
        <f>'Financial Statements'!C45/'Financial Statements'!C$53</f>
        <v>0.24156373360499173</v>
      </c>
      <c r="D33" s="71">
        <f>'Financial Statements'!D45/'Financial Statements'!D$53</f>
        <v>0.16084425036390101</v>
      </c>
      <c r="E33" s="71">
        <f>'Financial Statements'!E45/'Financial Statements'!E$53</f>
        <v>0.14579419185141446</v>
      </c>
      <c r="F33" s="71">
        <f>'Financial Statements'!F45/'Financial Statements'!F$53</f>
        <v>6.2273606907160224E-2</v>
      </c>
      <c r="G33" s="71">
        <f>'Financial Statements'!G45/'Financial Statements'!G$53</f>
        <v>3.9409368635437883E-2</v>
      </c>
      <c r="H33" s="71">
        <f>'Financial Statements'!H45/'Financial Statements'!H$53</f>
        <v>4.9939012282642609E-2</v>
      </c>
      <c r="I33" s="71">
        <f>'Financial Statements'!I45/'Financial Statements'!I$53</f>
        <v>3.9437853223312398E-2</v>
      </c>
      <c r="J33" s="71">
        <f>'Financial Statements'!J45/'Financial Statements'!J$53</f>
        <v>5.8925454522289748E-2</v>
      </c>
      <c r="K33" s="71">
        <f>'Financial Statements'!K45/'Financial Statements'!K$53</f>
        <v>4.7706697719845238E-2</v>
      </c>
      <c r="L33" s="71">
        <f>'Financial Statements'!L45/'Financial Statements'!L$53</f>
        <v>5.4666532895231885E-2</v>
      </c>
    </row>
    <row r="34" spans="2:12" x14ac:dyDescent="0.35">
      <c r="B34" s="20" t="s">
        <v>73</v>
      </c>
      <c r="C34" s="71">
        <f>'Financial Statements'!C46/'Financial Statements'!C$53</f>
        <v>0.1152425824525659</v>
      </c>
      <c r="D34" s="71">
        <f>'Financial Statements'!D46/'Financial Statements'!D$53</f>
        <v>0.15071100660620312</v>
      </c>
      <c r="E34" s="71">
        <f>'Financial Statements'!E46/'Financial Statements'!E$53</f>
        <v>0.14198292984057115</v>
      </c>
      <c r="F34" s="71">
        <f>'Financial Statements'!F46/'Financial Statements'!F$53</f>
        <v>0.18821019203096312</v>
      </c>
      <c r="G34" s="71">
        <f>'Financial Statements'!G46/'Financial Statements'!G$53</f>
        <v>5.8699447192318885E-2</v>
      </c>
      <c r="H34" s="71">
        <f>'Financial Statements'!H46/'Financial Statements'!H$53</f>
        <v>5.7030607324199359E-2</v>
      </c>
      <c r="I34" s="71">
        <f>'Financial Statements'!I46/'Financial Statements'!I$53</f>
        <v>5.9895726425551132E-2</v>
      </c>
      <c r="J34" s="71">
        <f>'Financial Statements'!J46/'Financial Statements'!J$53</f>
        <v>5.7549465530201682E-2</v>
      </c>
      <c r="K34" s="71">
        <f>'Financial Statements'!K46/'Financial Statements'!K$53</f>
        <v>6.1618020860723988E-2</v>
      </c>
      <c r="L34" s="71">
        <f>'Financial Statements'!L46/'Financial Statements'!L$53</f>
        <v>7.0919762221274676E-2</v>
      </c>
    </row>
    <row r="35" spans="2:12" s="2" customFormat="1" x14ac:dyDescent="0.35">
      <c r="B35" s="55" t="s">
        <v>184</v>
      </c>
      <c r="C35" s="73">
        <f>'Financial Statements'!C47/'Financial Statements'!C$53</f>
        <v>0.65274417420094233</v>
      </c>
      <c r="D35" s="73">
        <f>'Financial Statements'!D47/'Financial Statements'!D$53</f>
        <v>0.59086328518642928</v>
      </c>
      <c r="E35" s="73">
        <f>'Financial Statements'!E47/'Financial Statements'!E$53</f>
        <v>0.56267110419238819</v>
      </c>
      <c r="F35" s="73">
        <f>'Financial Statements'!F47/'Financial Statements'!F$53</f>
        <v>0.55197737309581696</v>
      </c>
      <c r="G35" s="73">
        <f>'Financial Statements'!G47/'Financial Statements'!G$53</f>
        <v>0.8573174279895257</v>
      </c>
      <c r="H35" s="73">
        <f>'Financial Statements'!H47/'Financial Statements'!H$53</f>
        <v>0.8556434913340708</v>
      </c>
      <c r="I35" s="73">
        <f>'Financial Statements'!I47/'Financial Statements'!I$53</f>
        <v>0.83568017296823893</v>
      </c>
      <c r="J35" s="73">
        <f>'Financial Statements'!J47/'Financial Statements'!J$53</f>
        <v>0.81426696734574266</v>
      </c>
      <c r="K35" s="73">
        <f>'Financial Statements'!K47/'Financial Statements'!K$53</f>
        <v>0.80231145837246287</v>
      </c>
      <c r="L35" s="73">
        <f>'Financial Statements'!L47/'Financial Statements'!L$53</f>
        <v>0.85683112192430211</v>
      </c>
    </row>
    <row r="36" spans="2:12" x14ac:dyDescent="0.35">
      <c r="B36" s="20" t="s">
        <v>78</v>
      </c>
      <c r="C36" s="71">
        <f>'Financial Statements'!C48/'Financial Statements'!C$53</f>
        <v>6.9081879536482871E-2</v>
      </c>
      <c r="D36" s="71">
        <f>'Financial Statements'!D48/'Financial Statements'!D$53</f>
        <v>7.3340051505990364E-2</v>
      </c>
      <c r="E36" s="71">
        <f>'Financial Statements'!E48/'Financial Statements'!E$53</f>
        <v>9.748241988297815E-2</v>
      </c>
      <c r="F36" s="71">
        <f>'Financial Statements'!F48/'Financial Statements'!F$53</f>
        <v>5.7013844092690912E-2</v>
      </c>
      <c r="G36" s="71">
        <f>'Financial Statements'!G48/'Financial Statements'!G$53</f>
        <v>2.5574629036950829E-2</v>
      </c>
      <c r="H36" s="71">
        <f>'Financial Statements'!H48/'Financial Statements'!H$53</f>
        <v>3.1713613025841775E-2</v>
      </c>
      <c r="I36" s="71">
        <f>'Financial Statements'!I48/'Financial Statements'!I$53</f>
        <v>4.2133639859326465E-2</v>
      </c>
      <c r="J36" s="71">
        <f>'Financial Statements'!J48/'Financial Statements'!J$53</f>
        <v>3.8183694530443756E-2</v>
      </c>
      <c r="K36" s="71">
        <f>'Financial Statements'!K48/'Financial Statements'!K$53</f>
        <v>4.781939070658503E-2</v>
      </c>
      <c r="L36" s="71">
        <f>'Financial Statements'!L48/'Financial Statements'!L$53</f>
        <v>4.2376282324613108E-2</v>
      </c>
    </row>
    <row r="37" spans="2:12" x14ac:dyDescent="0.35">
      <c r="B37" s="20" t="s">
        <v>45</v>
      </c>
      <c r="C37" s="71">
        <f>'Financial Statements'!C49/'Financial Statements'!C$53</f>
        <v>0.16178530497898891</v>
      </c>
      <c r="D37" s="71">
        <f>'Financial Statements'!D49/'Financial Statements'!D$53</f>
        <v>0.14068973239278917</v>
      </c>
      <c r="E37" s="71">
        <f>'Financial Statements'!E49/'Financial Statements'!E$53</f>
        <v>0.13817166782972784</v>
      </c>
      <c r="F37" s="71">
        <f>'Financial Statements'!F49/'Financial Statements'!F$53</f>
        <v>0.13729965761921303</v>
      </c>
      <c r="G37" s="71">
        <f>'Financial Statements'!G49/'Financial Statements'!G$53</f>
        <v>5.2065755018911843E-2</v>
      </c>
      <c r="H37" s="71">
        <f>'Financial Statements'!H49/'Financial Statements'!H$53</f>
        <v>5.8094346580432873E-2</v>
      </c>
      <c r="I37" s="71">
        <f>'Financial Statements'!I49/'Financial Statements'!I$53</f>
        <v>5.8171517714191878E-2</v>
      </c>
      <c r="J37" s="71">
        <f>'Financial Statements'!J49/'Financial Statements'!J$53</f>
        <v>5.1242849316464729E-2</v>
      </c>
      <c r="K37" s="71">
        <f>'Financial Statements'!K49/'Financial Statements'!K$53</f>
        <v>5.5282170717353467E-2</v>
      </c>
      <c r="L37" s="71">
        <f>'Financial Statements'!L49/'Financial Statements'!L$53</f>
        <v>6.0059193859891141E-2</v>
      </c>
    </row>
    <row r="38" spans="2:12" x14ac:dyDescent="0.35">
      <c r="B38" s="20" t="s">
        <v>87</v>
      </c>
      <c r="C38" s="71">
        <f>'Financial Statements'!C50/'Financial Statements'!C$53</f>
        <v>0.11638864128358589</v>
      </c>
      <c r="D38" s="71">
        <f>'Financial Statements'!D50/'Financial Statements'!D$53</f>
        <v>0.19510693091479117</v>
      </c>
      <c r="E38" s="71">
        <f>'Financial Statements'!E50/'Financial Statements'!E$53</f>
        <v>0.20167480809490579</v>
      </c>
      <c r="F38" s="71">
        <f>'Financial Statements'!F50/'Financial Statements'!F$53</f>
        <v>0.25370912519227906</v>
      </c>
      <c r="G38" s="71">
        <f>'Financial Statements'!G50/'Financial Statements'!G$53</f>
        <v>6.5042187954611586E-2</v>
      </c>
      <c r="H38" s="71">
        <f>'Financial Statements'!H50/'Financial Statements'!H$53</f>
        <v>5.4548549059654498E-2</v>
      </c>
      <c r="I38" s="71">
        <f>'Financial Statements'!I50/'Financial Statements'!I$53</f>
        <v>6.4014669458242676E-2</v>
      </c>
      <c r="J38" s="71">
        <f>'Financial Statements'!J50/'Financial Statements'!J$53</f>
        <v>9.6306488807348795E-2</v>
      </c>
      <c r="K38" s="71">
        <f>'Financial Statements'!K50/'Financial Statements'!K$53</f>
        <v>9.4586980203598667E-2</v>
      </c>
      <c r="L38" s="71">
        <f>'Financial Statements'!L50/'Financial Statements'!L$53</f>
        <v>4.0733401891193656E-2</v>
      </c>
    </row>
    <row r="39" spans="2:12" s="2" customFormat="1" x14ac:dyDescent="0.35">
      <c r="B39" s="55" t="s">
        <v>183</v>
      </c>
      <c r="C39" s="73">
        <f>'Financial Statements'!C51/'Financial Statements'!C$53</f>
        <v>0.34725582579905767</v>
      </c>
      <c r="D39" s="73">
        <f>'Financial Statements'!D51/'Financial Statements'!D$53</f>
        <v>0.40913671481357072</v>
      </c>
      <c r="E39" s="73">
        <f>'Financial Statements'!E51/'Financial Statements'!E$53</f>
        <v>0.43732889580761181</v>
      </c>
      <c r="F39" s="73">
        <f>'Financial Statements'!F51/'Financial Statements'!F$53</f>
        <v>0.44802262690418299</v>
      </c>
      <c r="G39" s="73">
        <f>'Financial Statements'!G51/'Financial Statements'!G$53</f>
        <v>0.14268257201047424</v>
      </c>
      <c r="H39" s="73">
        <f>'Financial Statements'!H51/'Financial Statements'!H$53</f>
        <v>0.14435650866592914</v>
      </c>
      <c r="I39" s="73">
        <f>'Financial Statements'!I51/'Financial Statements'!I$53</f>
        <v>0.16431982703176101</v>
      </c>
      <c r="J39" s="73">
        <f>'Financial Statements'!J51/'Financial Statements'!J$53</f>
        <v>0.18573303265425728</v>
      </c>
      <c r="K39" s="73">
        <f>'Financial Statements'!K51/'Financial Statements'!K$53</f>
        <v>0.19768854162753716</v>
      </c>
      <c r="L39" s="73">
        <f>'Financial Statements'!L51/'Financial Statements'!L$53</f>
        <v>0.14316887807569792</v>
      </c>
    </row>
    <row r="40" spans="2:12" x14ac:dyDescent="0.35">
      <c r="B40" s="20"/>
      <c r="C40" s="71"/>
      <c r="D40" s="71"/>
      <c r="E40" s="71"/>
      <c r="F40" s="71"/>
      <c r="G40" s="71"/>
      <c r="H40" s="71"/>
      <c r="I40" s="71"/>
      <c r="J40" s="71"/>
      <c r="K40" s="71"/>
      <c r="L40" s="71"/>
    </row>
    <row r="41" spans="2:12" x14ac:dyDescent="0.35">
      <c r="B41" s="53" t="s">
        <v>185</v>
      </c>
      <c r="C41" s="72">
        <f>'Financial Statements'!C53/'Financial Statements'!C$53</f>
        <v>1</v>
      </c>
      <c r="D41" s="72">
        <f>'Financial Statements'!D53/'Financial Statements'!D$53</f>
        <v>1</v>
      </c>
      <c r="E41" s="72">
        <f>'Financial Statements'!E53/'Financial Statements'!E$53</f>
        <v>1</v>
      </c>
      <c r="F41" s="72">
        <f>'Financial Statements'!F53/'Financial Statements'!F$53</f>
        <v>1</v>
      </c>
      <c r="G41" s="72">
        <f>'Financial Statements'!G53/'Financial Statements'!G$53</f>
        <v>1</v>
      </c>
      <c r="H41" s="72">
        <f>'Financial Statements'!H53/'Financial Statements'!H$53</f>
        <v>1</v>
      </c>
      <c r="I41" s="72">
        <f>'Financial Statements'!I53/'Financial Statements'!I$53</f>
        <v>1</v>
      </c>
      <c r="J41" s="72">
        <f>'Financial Statements'!J53/'Financial Statements'!J$53</f>
        <v>1</v>
      </c>
      <c r="K41" s="72">
        <f>'Financial Statements'!K53/'Financial Statements'!K$53</f>
        <v>1</v>
      </c>
      <c r="L41" s="72">
        <f>'Financial Statements'!L53/'Financial Statements'!L$53</f>
        <v>1</v>
      </c>
    </row>
  </sheetData>
  <mergeCells count="2">
    <mergeCell ref="B1:L1"/>
    <mergeCell ref="B22:L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A0E9-B492-4658-ADCC-4FE9AAB523E5}">
  <dimension ref="A2:Q40"/>
  <sheetViews>
    <sheetView showGridLines="0" zoomScale="55" workbookViewId="0">
      <pane ySplit="3" topLeftCell="A4" activePane="bottomLeft" state="frozen"/>
      <selection pane="bottomLeft" activeCell="I26" sqref="I26"/>
    </sheetView>
  </sheetViews>
  <sheetFormatPr defaultRowHeight="14.5" x14ac:dyDescent="0.35"/>
  <cols>
    <col min="1" max="1" width="2.1796875" customWidth="1"/>
    <col min="2" max="2" width="17.08984375" bestFit="1" customWidth="1"/>
    <col min="3" max="3" width="9.81640625" bestFit="1" customWidth="1"/>
  </cols>
  <sheetData>
    <row r="2" spans="1:17" x14ac:dyDescent="0.35">
      <c r="A2" t="s">
        <v>94</v>
      </c>
      <c r="B2" s="74" t="str">
        <f>_xlfn.CONCAT("Ratio Analysis of ",'Data Sheet'!B1)</f>
        <v>Ratio Analysis of HINDUSTAN UNILEVER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x14ac:dyDescent="0.35">
      <c r="B3" s="26" t="s">
        <v>93</v>
      </c>
      <c r="C3" s="27">
        <f>'Data Sheet'!B16</f>
        <v>42825</v>
      </c>
      <c r="D3" s="27">
        <f>'Data Sheet'!C16</f>
        <v>43190</v>
      </c>
      <c r="E3" s="27">
        <f>'Data Sheet'!D16</f>
        <v>43555</v>
      </c>
      <c r="F3" s="27">
        <f>'Data Sheet'!E16</f>
        <v>43921</v>
      </c>
      <c r="G3" s="27">
        <f>'Data Sheet'!F16</f>
        <v>44286</v>
      </c>
      <c r="H3" s="27">
        <f>'Data Sheet'!G16</f>
        <v>44651</v>
      </c>
      <c r="I3" s="27">
        <f>'Data Sheet'!H16</f>
        <v>45016</v>
      </c>
      <c r="J3" s="27">
        <f>'Data Sheet'!I16</f>
        <v>45382</v>
      </c>
      <c r="K3" s="27">
        <f>'Data Sheet'!J16</f>
        <v>45747</v>
      </c>
      <c r="L3" s="27">
        <f>'Data Sheet'!K16</f>
        <v>46112</v>
      </c>
      <c r="M3" s="36">
        <f>'Data Sheet'!K16+365</f>
        <v>46477</v>
      </c>
      <c r="N3" s="36">
        <f>M3+364</f>
        <v>46841</v>
      </c>
      <c r="O3" s="36">
        <f>N3+364</f>
        <v>47205</v>
      </c>
      <c r="P3" s="36">
        <f>O3+364</f>
        <v>47569</v>
      </c>
      <c r="Q3" s="36">
        <f>P3+364</f>
        <v>47933</v>
      </c>
    </row>
    <row r="4" spans="1:17" x14ac:dyDescent="0.35">
      <c r="B4" s="2" t="s">
        <v>111</v>
      </c>
    </row>
    <row r="5" spans="1:17" x14ac:dyDescent="0.35">
      <c r="B5" t="s">
        <v>99</v>
      </c>
      <c r="C5" s="5">
        <f>'Financial Statements'!C11</f>
        <v>0.43685543694590195</v>
      </c>
      <c r="D5" s="5">
        <f>'Financial Statements'!D11</f>
        <v>0.45663243775495849</v>
      </c>
      <c r="E5" s="5">
        <f>'Financial Statements'!E11</f>
        <v>0.46372424319511574</v>
      </c>
      <c r="F5" s="5">
        <f>'Financial Statements'!F11</f>
        <v>0.48183897644722617</v>
      </c>
      <c r="G5" s="5">
        <f>'Financial Statements'!G11</f>
        <v>0.46200136089138388</v>
      </c>
      <c r="H5" s="5">
        <f>'Financial Statements'!H11</f>
        <v>0.44579186210578498</v>
      </c>
      <c r="I5" s="5">
        <f>'Financial Statements'!I11</f>
        <v>0.41596236381644108</v>
      </c>
      <c r="J5" s="5">
        <f>'Financial Statements'!J11</f>
        <v>0.45632997285769678</v>
      </c>
      <c r="K5" s="5">
        <f>'Financial Statements'!K11</f>
        <v>0.45344703887294546</v>
      </c>
      <c r="L5" s="5">
        <f>'Financial Statements'!L11</f>
        <v>0.44726065644971147</v>
      </c>
      <c r="M5" s="5">
        <f>'Financial Statements'!M11</f>
        <v>0.44605792036634817</v>
      </c>
      <c r="N5" s="5">
        <f>'Financial Statements'!N11</f>
        <v>0.4455089516789833</v>
      </c>
      <c r="O5" s="5">
        <f>'Financial Statements'!O11</f>
        <v>0.44501412559006343</v>
      </c>
      <c r="P5" s="5">
        <f>'Financial Statements'!P11</f>
        <v>0.4445658087207407</v>
      </c>
      <c r="Q5" s="5">
        <f>'Financial Statements'!Q11</f>
        <v>0.44415773822186916</v>
      </c>
    </row>
    <row r="6" spans="1:17" x14ac:dyDescent="0.35">
      <c r="B6" t="s">
        <v>112</v>
      </c>
      <c r="C6" s="5">
        <f>'Financial Statements'!C16</f>
        <v>0.1908208190097099</v>
      </c>
      <c r="D6" s="5">
        <f>'Financial Statements'!D16</f>
        <v>0.21097200731467156</v>
      </c>
      <c r="E6" s="5">
        <f>'Financial Statements'!E16</f>
        <v>0.2258967183922666</v>
      </c>
      <c r="F6" s="5">
        <f>'Financial Statements'!F16</f>
        <v>0.24786969308498605</v>
      </c>
      <c r="G6" s="5">
        <f>'Financial Statements'!G16</f>
        <v>0.24721442544866887</v>
      </c>
      <c r="H6" s="5">
        <f>'Financial Statements'!H16</f>
        <v>0.24514738969606834</v>
      </c>
      <c r="I6" s="5">
        <f>'Financial Statements'!I16</f>
        <v>0.23352591614394189</v>
      </c>
      <c r="J6" s="5">
        <f>'Financial Statements'!J16</f>
        <v>0.23683275171255008</v>
      </c>
      <c r="K6" s="5">
        <f>'Financial Statements'!K16</f>
        <v>0.23966214453430734</v>
      </c>
      <c r="L6" s="5">
        <f>'Financial Statements'!L16</f>
        <v>0.23327852578023206</v>
      </c>
      <c r="M6" s="5">
        <f>'Financial Statements'!M16</f>
        <v>0.24349829803797751</v>
      </c>
      <c r="N6" s="5">
        <f>'Financial Statements'!N16</f>
        <v>0.24472575510869352</v>
      </c>
      <c r="O6" s="5">
        <f>'Financial Statements'!O16</f>
        <v>0.2458321529699895</v>
      </c>
      <c r="P6" s="5">
        <f>'Financial Statements'!P16</f>
        <v>0.24683455934368118</v>
      </c>
      <c r="Q6" s="5">
        <f>'Financial Statements'!Q16</f>
        <v>0.24774697753932509</v>
      </c>
    </row>
    <row r="7" spans="1:17" x14ac:dyDescent="0.35">
      <c r="B7" t="s">
        <v>133</v>
      </c>
      <c r="C7" s="5">
        <f>'Financial Statements'!C21</f>
        <v>0.17779386044267534</v>
      </c>
      <c r="D7" s="5">
        <f>'Financial Statements'!D21</f>
        <v>0.19634266422844282</v>
      </c>
      <c r="E7" s="5">
        <f>'Financial Statements'!E21</f>
        <v>0.21152378529636226</v>
      </c>
      <c r="F7" s="5">
        <f>'Financial Statements'!F21</f>
        <v>0.22268305557650253</v>
      </c>
      <c r="G7" s="5">
        <f>'Financial Statements'!G21</f>
        <v>0.22437696691332823</v>
      </c>
      <c r="H7" s="5">
        <f>'Financial Statements'!H21</f>
        <v>0.22434504061320215</v>
      </c>
      <c r="I7" s="5">
        <f>'Financial Statements'!I21</f>
        <v>0.21475734565863322</v>
      </c>
      <c r="J7" s="5">
        <f>'Financial Statements'!J21</f>
        <v>0.21718689414501746</v>
      </c>
      <c r="K7" s="5">
        <f>'Financial Statements'!K21</f>
        <v>0.21923102008870338</v>
      </c>
      <c r="L7" s="5">
        <f>'Financial Statements'!L21</f>
        <v>0.21260160079419246</v>
      </c>
      <c r="M7" s="5">
        <f>'Financial Statements'!M21</f>
        <v>0.22199843788709189</v>
      </c>
      <c r="N7" s="5">
        <f>'Financial Statements'!N21</f>
        <v>0.22297627664038155</v>
      </c>
      <c r="O7" s="5">
        <f>'Financial Statements'!O21</f>
        <v>0.22385767504619372</v>
      </c>
      <c r="P7" s="5">
        <f>'Financial Statements'!P21</f>
        <v>0.2246562298976216</v>
      </c>
      <c r="Q7" s="5">
        <f>'Financial Statements'!Q21</f>
        <v>0.22538309676098719</v>
      </c>
    </row>
    <row r="8" spans="1:17" x14ac:dyDescent="0.35">
      <c r="B8" t="s">
        <v>113</v>
      </c>
      <c r="C8" s="5">
        <f>'Financial Statements'!C31</f>
        <v>0.11712200711657922</v>
      </c>
      <c r="D8" s="5">
        <f>'Financial Statements'!D31</f>
        <v>0.1371219580813054</v>
      </c>
      <c r="E8" s="5">
        <f>'Financial Statements'!E31</f>
        <v>0.14596794708725516</v>
      </c>
      <c r="F8" s="5">
        <f>'Financial Statements'!F31</f>
        <v>0.15916346178015736</v>
      </c>
      <c r="G8" s="5">
        <f>'Financial Statements'!G31</f>
        <v>0.16647529131581185</v>
      </c>
      <c r="H8" s="5">
        <f>'Financial Statements'!H31</f>
        <v>0.16537009495481067</v>
      </c>
      <c r="I8" s="5">
        <f>'Financial Statements'!I31</f>
        <v>0.16003631561571477</v>
      </c>
      <c r="J8" s="5">
        <f>'Financial Statements'!J31</f>
        <v>0.15291779759596744</v>
      </c>
      <c r="K8" s="5">
        <f>'Financial Statements'!K31</f>
        <v>0.15190451343595096</v>
      </c>
      <c r="L8" s="5">
        <f>'Financial Statements'!L31</f>
        <v>0.15722529006638952</v>
      </c>
      <c r="M8" s="5">
        <f>'Financial Statements'!M31</f>
        <v>0.16188527817610848</v>
      </c>
      <c r="N8" s="5">
        <f>'Financial Statements'!N31</f>
        <v>0.1629212541817712</v>
      </c>
      <c r="O8" s="5">
        <f>'Financial Statements'!O31</f>
        <v>0.16385505599396066</v>
      </c>
      <c r="P8" s="5">
        <f>'Financial Statements'!P31</f>
        <v>0.16470108880100767</v>
      </c>
      <c r="Q8" s="5">
        <f>'Financial Statements'!Q31</f>
        <v>0.16547117142171064</v>
      </c>
    </row>
    <row r="9" spans="1:17" x14ac:dyDescent="0.35">
      <c r="B9" t="s">
        <v>132</v>
      </c>
      <c r="C9" s="59">
        <f>'Financial Statements'!C30/'Financial Statements'!C53</f>
        <v>0.24729402776009168</v>
      </c>
      <c r="D9" s="59">
        <f>'Financial Statements'!D30/'Financial Statements'!D53</f>
        <v>0.27286977941999774</v>
      </c>
      <c r="E9" s="59">
        <f>'Financial Statements'!E30/'Financial Statements'!E53</f>
        <v>0.30801438617209725</v>
      </c>
      <c r="F9" s="59">
        <f>'Financial Statements'!F30/'Financial Statements'!F53</f>
        <v>0.31419639755867612</v>
      </c>
      <c r="G9" s="59">
        <f>'Financial Statements'!G30/'Financial Statements'!G53</f>
        <v>0.11389292988070993</v>
      </c>
      <c r="H9" s="59">
        <f>'Financial Statements'!H30/'Financial Statements'!H53</f>
        <v>0.12301080759084333</v>
      </c>
      <c r="I9" s="59">
        <f>'Financial Statements'!I30/'Financial Statements'!I53</f>
        <v>0.13266828140180906</v>
      </c>
      <c r="J9" s="59">
        <f>'Financial Statements'!J30/'Financial Statements'!J53</f>
        <v>0.12059014638993999</v>
      </c>
      <c r="K9" s="59">
        <f>'Financial Statements'!K30/'Financial Statements'!K53</f>
        <v>0.11664976271865569</v>
      </c>
      <c r="L9" s="59">
        <f>'Financial Statements'!L30/'Financial Statements'!L53</f>
        <v>0.12711630590182849</v>
      </c>
      <c r="M9" s="59">
        <f>'Financial Statements'!M30/'Financial Statements'!M53</f>
        <v>0.11346816416564634</v>
      </c>
      <c r="N9" s="59">
        <f>'Financial Statements'!N30/'Financial Statements'!N53</f>
        <v>0.11073284642804976</v>
      </c>
      <c r="O9" s="59">
        <f>'Financial Statements'!O30/'Financial Statements'!O53</f>
        <v>0.10840562296058887</v>
      </c>
      <c r="P9" s="59">
        <f>'Financial Statements'!P30/'Financial Statements'!P53</f>
        <v>0.10640150553934485</v>
      </c>
      <c r="Q9" s="59">
        <f>'Financial Statements'!Q30/'Financial Statements'!Q53</f>
        <v>0.10465757317633602</v>
      </c>
    </row>
    <row r="10" spans="1:17" x14ac:dyDescent="0.35">
      <c r="B10" t="s">
        <v>59</v>
      </c>
      <c r="C10" s="59">
        <f>'Financial Statements'!C30/SUM('Financial Statements'!C36:C37)</f>
        <v>0.57591933570581255</v>
      </c>
      <c r="D10" s="59">
        <f>'Financial Statements'!D30/SUM('Financial Statements'!D36:D37)</f>
        <v>0.6694135420958659</v>
      </c>
      <c r="E10" s="59">
        <f>'Financial Statements'!E30/SUM('Financial Statements'!E36:E37)</f>
        <v>0.72937587390364811</v>
      </c>
      <c r="F10" s="59">
        <f>'Financial Statements'!F30/SUM('Financial Statements'!F36:F37)</f>
        <v>0.76947381212784061</v>
      </c>
      <c r="G10" s="59">
        <f>'Financial Statements'!G30/SUM('Financial Statements'!G36:G37)</f>
        <v>0.16421949070772329</v>
      </c>
      <c r="H10" s="59">
        <f>'Financial Statements'!H30/SUM('Financial Statements'!H36:H37)</f>
        <v>0.1767799270296162</v>
      </c>
      <c r="I10" s="59">
        <f>'Financial Statements'!I30/SUM('Financial Statements'!I36:I37)</f>
        <v>0.19272821246819338</v>
      </c>
      <c r="J10" s="59">
        <f>'Financial Statements'!J30/SUM('Financial Statements'!J36:J37)</f>
        <v>0.18479831309305322</v>
      </c>
      <c r="K10" s="59">
        <f>'Financial Statements'!K30/SUM('Financial Statements'!K36:K37)</f>
        <v>0.18857536132140398</v>
      </c>
      <c r="L10" s="59">
        <f>'Financial Statements'!L30/SUM('Financial Statements'!L36:L37)</f>
        <v>0.20796487412544368</v>
      </c>
      <c r="M10" s="59">
        <f>'Financial Statements'!M30/SUM('Financial Statements'!M36:M37)</f>
        <v>0.17266617941564538</v>
      </c>
      <c r="N10" s="59">
        <f>'Financial Statements'!N30/SUM('Financial Statements'!N36:N37)</f>
        <v>0.16778896208975519</v>
      </c>
      <c r="O10" s="59">
        <f>'Financial Statements'!O30/SUM('Financial Statements'!O36:O37)</f>
        <v>0.16367186245111517</v>
      </c>
      <c r="P10" s="59">
        <f>'Financial Statements'!P30/SUM('Financial Statements'!P36:P37)</f>
        <v>0.16015002928785008</v>
      </c>
      <c r="Q10" s="59">
        <f>'Financial Statements'!Q30/SUM('Financial Statements'!Q36:Q37)</f>
        <v>0.15710306726009535</v>
      </c>
    </row>
    <row r="12" spans="1:17" x14ac:dyDescent="0.35">
      <c r="B12" s="2" t="s">
        <v>114</v>
      </c>
    </row>
    <row r="13" spans="1:17" x14ac:dyDescent="0.35">
      <c r="B13" t="s">
        <v>115</v>
      </c>
      <c r="C13" s="59">
        <f>'Financial Statements'!C38/SUM('Financial Statements'!C36:C37)</f>
        <v>4.1073546856465006E-2</v>
      </c>
      <c r="D13" s="59">
        <f>'Financial Statements'!D38/SUM('Financial Statements'!D36:D37)</f>
        <v>0</v>
      </c>
      <c r="E13" s="59">
        <f>'Financial Statements'!E38/SUM('Financial Statements'!E36:E37)</f>
        <v>1.258421253336723E-2</v>
      </c>
      <c r="F13" s="59">
        <f>'Financial Statements'!F38/SUM('Financial Statements'!F36:F37)</f>
        <v>0</v>
      </c>
      <c r="G13" s="59">
        <f>'Financial Statements'!G38/SUM('Financial Statements'!G36:G37)</f>
        <v>0</v>
      </c>
      <c r="H13" s="59">
        <f>'Financial Statements'!H38/SUM('Financial Statements'!H36:H37)</f>
        <v>2.1259248690405821E-2</v>
      </c>
      <c r="I13" s="59">
        <f>'Financial Statements'!I38/SUM('Financial Statements'!I36:I37)</f>
        <v>2.4232665394402036E-2</v>
      </c>
      <c r="J13" s="59">
        <f>'Financial Statements'!J38/SUM('Financial Statements'!J36:J37)</f>
        <v>2.8974188761763442E-2</v>
      </c>
      <c r="K13" s="59">
        <f>'Financial Statements'!K38/SUM('Financial Statements'!K36:K37)</f>
        <v>3.3358973320918181E-2</v>
      </c>
      <c r="L13" s="59">
        <f>'Financial Statements'!L38/SUM('Financial Statements'!L36:L37)</f>
        <v>3.032479123494532E-2</v>
      </c>
      <c r="M13" s="59">
        <f>'Financial Statements'!M38/SUM('Financial Statements'!M36:M37)</f>
        <v>2.7902026226813301E-2</v>
      </c>
      <c r="N13" s="59">
        <f>'Financial Statements'!N38/SUM('Financial Statements'!N36:N37)</f>
        <v>2.8366368215586822E-2</v>
      </c>
      <c r="O13" s="59">
        <f>'Financial Statements'!O38/SUM('Financial Statements'!O36:O37)</f>
        <v>2.8758342184849305E-2</v>
      </c>
      <c r="P13" s="59">
        <f>'Financial Statements'!P38/SUM('Financial Statements'!P36:P37)</f>
        <v>2.9093643014377207E-2</v>
      </c>
      <c r="Q13" s="59">
        <f>'Financial Statements'!Q38/SUM('Financial Statements'!Q36:Q37)</f>
        <v>2.938373310328397E-2</v>
      </c>
    </row>
    <row r="14" spans="1:17" x14ac:dyDescent="0.35">
      <c r="B14" t="s">
        <v>116</v>
      </c>
      <c r="C14" s="59">
        <f>'Financial Statements'!C38/'Financial Statements'!C53</f>
        <v>1.7636572010696547E-2</v>
      </c>
      <c r="D14" s="59">
        <f>'Financial Statements'!D38/'Financial Statements'!D53</f>
        <v>0</v>
      </c>
      <c r="E14" s="59">
        <f>'Financial Statements'!E38/'Financial Statements'!E53</f>
        <v>5.3142949165279939E-3</v>
      </c>
      <c r="F14" s="59">
        <f>'Financial Statements'!F38/'Financial Statements'!F53</f>
        <v>0</v>
      </c>
      <c r="G14" s="59">
        <f>'Financial Statements'!G38/'Financial Statements'!G53</f>
        <v>0</v>
      </c>
      <c r="H14" s="59">
        <f>'Financial Statements'!H38/'Financial Statements'!H53</f>
        <v>1.4793067256687375E-2</v>
      </c>
      <c r="I14" s="59">
        <f>'Financial Statements'!I38/'Financial Statements'!I53</f>
        <v>1.668103507259466E-2</v>
      </c>
      <c r="J14" s="59">
        <f>'Financial Statements'!J38/'Financial Statements'!J53</f>
        <v>1.8907108002395239E-2</v>
      </c>
      <c r="K14" s="59">
        <f>'Financial Statements'!K38/'Financial Statements'!K53</f>
        <v>2.0635338016353005E-2</v>
      </c>
      <c r="L14" s="59">
        <f>'Financial Statements'!L38/'Financial Statements'!L53</f>
        <v>1.8535704432014848E-2</v>
      </c>
      <c r="M14" s="59">
        <f>'Financial Statements'!M38/'Financial Statements'!M53</f>
        <v>1.8335910965151921E-2</v>
      </c>
      <c r="N14" s="59">
        <f>'Financial Statements'!N38/'Financial Statements'!N53</f>
        <v>1.8720472766604445E-2</v>
      </c>
      <c r="O14" s="59">
        <f>'Financial Statements'!O38/'Financial Statements'!O53</f>
        <v>1.9047660075313881E-2</v>
      </c>
      <c r="P14" s="59">
        <f>'Financial Statements'!P38/'Financial Statements'!P53</f>
        <v>1.9329421493829407E-2</v>
      </c>
      <c r="Q14" s="59">
        <f>'Financial Statements'!Q38/'Financial Statements'!Q53</f>
        <v>1.9574603163919173E-2</v>
      </c>
    </row>
    <row r="15" spans="1:17" x14ac:dyDescent="0.35">
      <c r="B15" t="s">
        <v>117</v>
      </c>
      <c r="C15" s="60">
        <f>'Financial Statements'!C20/'Financial Statements'!C23</f>
        <v>168.45714285714286</v>
      </c>
      <c r="D15" s="60">
        <f>'Financial Statements'!D20/'Financial Statements'!D23</f>
        <v>268.42307692307691</v>
      </c>
      <c r="E15" s="60">
        <f>'Financial Statements'!E20/'Financial Statements'!E23</f>
        <v>251.96969696969697</v>
      </c>
      <c r="F15" s="60">
        <f>'Financial Statements'!F20/'Financial Statements'!F23</f>
        <v>75.076271186440678</v>
      </c>
      <c r="G15" s="60">
        <f>'Financial Statements'!G20/'Financial Statements'!G23</f>
        <v>90.188034188034194</v>
      </c>
      <c r="H15" s="60">
        <f>'Financial Statements'!H20/'Financial Statements'!H23</f>
        <v>111</v>
      </c>
      <c r="I15" s="60">
        <f>'Financial Statements'!I20/'Financial Statements'!I23</f>
        <v>114.12280701754386</v>
      </c>
      <c r="J15" s="60">
        <f>'Financial Statements'!J20/'Financial Statements'!J23</f>
        <v>40.248502994011979</v>
      </c>
      <c r="K15" s="60">
        <f>'Financial Statements'!K20/'Financial Statements'!K23</f>
        <v>35.288713910761153</v>
      </c>
      <c r="L15" s="60">
        <f>'Financial Statements'!L20/'Financial Statements'!L23</f>
        <v>33.429268292682927</v>
      </c>
      <c r="M15" s="60">
        <f>'Financial Statements'!M20/'Financial Statements'!M23</f>
        <v>38.238044899238965</v>
      </c>
      <c r="N15" s="60">
        <f>'Financial Statements'!N20/'Financial Statements'!N23</f>
        <v>36.572035049741977</v>
      </c>
      <c r="O15" s="60">
        <f>'Financial Statements'!O20/'Financial Statements'!O23</f>
        <v>35.201087280989647</v>
      </c>
      <c r="P15" s="60">
        <f>'Financial Statements'!P20/'Financial Statements'!P23</f>
        <v>34.053191941603487</v>
      </c>
      <c r="Q15" s="60">
        <f>'Financial Statements'!Q20/'Financial Statements'!Q23</f>
        <v>33.078008465608583</v>
      </c>
    </row>
    <row r="16" spans="1:17" x14ac:dyDescent="0.35"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2:17" x14ac:dyDescent="0.35">
      <c r="B17" s="2" t="s">
        <v>118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2:17" x14ac:dyDescent="0.35">
      <c r="B18" t="s">
        <v>119</v>
      </c>
      <c r="C18" s="60">
        <f>'Financial Statements'!C6/'Financial Statements'!C53</f>
        <v>2.1114223863491661</v>
      </c>
      <c r="D18" s="60">
        <f>'Financial Statements'!D6/'Financial Statements'!D53</f>
        <v>1.989978725786586</v>
      </c>
      <c r="E18" s="60">
        <f>'Financial Statements'!E6/'Financial Statements'!E53</f>
        <v>2.1101508400880347</v>
      </c>
      <c r="F18" s="60">
        <f>'Financial Statements'!F6/'Financial Statements'!F53</f>
        <v>1.974048528755024</v>
      </c>
      <c r="G18" s="60">
        <f>'Financial Statements'!G6/'Financial Statements'!G53</f>
        <v>0.68414314809426824</v>
      </c>
      <c r="H18" s="60">
        <f>'Financial Statements'!H6/'Financial Statements'!H53</f>
        <v>0.74385158709897026</v>
      </c>
      <c r="I18" s="60">
        <f>'Financial Statements'!I6/'Financial Statements'!I53</f>
        <v>0.82898860106463046</v>
      </c>
      <c r="J18" s="60">
        <f>'Financial Statements'!J6/'Financial Statements'!J53</f>
        <v>0.78859458013224781</v>
      </c>
      <c r="K18" s="60">
        <f>'Financial Statements'!K6/'Financial Statements'!K53</f>
        <v>0.76791505453088416</v>
      </c>
      <c r="L18" s="60">
        <f>'Financial Statements'!L6/'Financial Statements'!L53</f>
        <v>0.80849783039454215</v>
      </c>
      <c r="M18" s="60">
        <f>'Financial Statements'!M6/'Financial Statements'!M53</f>
        <v>0.70091712751179802</v>
      </c>
      <c r="N18" s="60">
        <f>'Financial Statements'!N6/'Financial Statements'!N53</f>
        <v>0.67967096732821097</v>
      </c>
      <c r="O18" s="60">
        <f>'Financial Statements'!O6/'Financial Statements'!O53</f>
        <v>0.66159461667502317</v>
      </c>
      <c r="P18" s="60">
        <f>'Financial Statements'!P6/'Financial Statements'!P53</f>
        <v>0.64602794258330287</v>
      </c>
      <c r="Q18" s="60">
        <f>'Financial Statements'!Q6/'Financial Statements'!Q53</f>
        <v>0.63248221594812759</v>
      </c>
    </row>
    <row r="19" spans="2:17" x14ac:dyDescent="0.35">
      <c r="B19" t="s">
        <v>120</v>
      </c>
      <c r="C19" s="60">
        <f>'Financial Statements'!C9/'Financial Statements'!C49</f>
        <v>7.3494687131050771</v>
      </c>
      <c r="D19" s="60">
        <f>'Financial Statements'!D9/'Financial Statements'!D49</f>
        <v>7.685634699562276</v>
      </c>
      <c r="E19" s="60">
        <f>'Financial Statements'!E9/'Financial Statements'!E49</f>
        <v>8.1899766899766906</v>
      </c>
      <c r="F19" s="60">
        <f>'Financial Statements'!F9/'Financial Statements'!F49</f>
        <v>7.4499457896638956</v>
      </c>
      <c r="G19" s="60">
        <f>'Financial Statements'!G9/'Financial Statements'!G49</f>
        <v>7.0692930986309026</v>
      </c>
      <c r="H19" s="60">
        <f>'Financial Statements'!H9/'Financial Statements'!H49</f>
        <v>7.09619140625</v>
      </c>
      <c r="I19" s="60">
        <f>'Financial Statements'!I9/'Financial Statements'!I49</f>
        <v>8.3229828275699838</v>
      </c>
      <c r="J19" s="60">
        <f>'Financial Statements'!J9/'Financial Statements'!J49</f>
        <v>8.3667329686723022</v>
      </c>
      <c r="K19" s="60">
        <f>'Financial Statements'!K9/'Financial Statements'!K49</f>
        <v>7.5920724801812005</v>
      </c>
      <c r="L19" s="60">
        <f>'Financial Statements'!L9/'Financial Statements'!L49</f>
        <v>7.4408018375443721</v>
      </c>
      <c r="M19" s="60">
        <f>'Financial Statements'!M9/'Financial Statements'!M49</f>
        <v>7.7409138740208547</v>
      </c>
      <c r="N19" s="60">
        <f>'Financial Statements'!N9/'Financial Statements'!N49</f>
        <v>7.750829197908871</v>
      </c>
      <c r="O19" s="60">
        <f>'Financial Statements'!O9/'Financial Statements'!O49</f>
        <v>7.7597715352207501</v>
      </c>
      <c r="P19" s="60">
        <f>'Financial Statements'!P9/'Financial Statements'!P49</f>
        <v>7.7678774057868134</v>
      </c>
      <c r="Q19" s="60">
        <f>'Financial Statements'!Q9/'Financial Statements'!Q49</f>
        <v>7.775258930433945</v>
      </c>
    </row>
    <row r="20" spans="2:17" x14ac:dyDescent="0.35">
      <c r="B20" t="s">
        <v>121</v>
      </c>
      <c r="C20" s="60">
        <f>'Financial Statements'!C6/'Financial Statements'!C48</f>
        <v>30.56405529953917</v>
      </c>
      <c r="D20" s="60">
        <f>'Financial Statements'!D6/'Financial Statements'!D48</f>
        <v>27.133587786259543</v>
      </c>
      <c r="E20" s="60">
        <f>'Financial Statements'!E6/'Financial Statements'!E48</f>
        <v>21.646475770925111</v>
      </c>
      <c r="F20" s="60">
        <f>'Financial Statements'!F6/'Financial Statements'!F48</f>
        <v>34.624020887728463</v>
      </c>
      <c r="G20" s="60">
        <f>'Financial Statements'!G6/'Financial Statements'!G48</f>
        <v>26.750853242320819</v>
      </c>
      <c r="H20" s="60">
        <f>'Financial Statements'!H6/'Financial Statements'!H48</f>
        <v>23.455277280858677</v>
      </c>
      <c r="I20" s="60">
        <f>'Financial Statements'!I6/'Financial Statements'!I48</f>
        <v>19.67521922702176</v>
      </c>
      <c r="J20" s="60">
        <f>'Financial Statements'!J6/'Financial Statements'!J48</f>
        <v>20.652652652652652</v>
      </c>
      <c r="K20" s="60">
        <f>'Financial Statements'!K6/'Financial Statements'!K48</f>
        <v>16.058654097931395</v>
      </c>
      <c r="L20" s="60">
        <f>'Financial Statements'!L6/'Financial Statements'!L48</f>
        <v>19.079017460787217</v>
      </c>
      <c r="M20" s="60">
        <f>'Financial Statements'!M6/'Financial Statements'!M48</f>
        <v>18.007669522948465</v>
      </c>
      <c r="N20" s="60">
        <f>'Financial Statements'!N6/'Financial Statements'!N48</f>
        <v>17.631777780418783</v>
      </c>
      <c r="O20" s="60">
        <f>'Financial Statements'!O6/'Financial Statements'!O48</f>
        <v>17.306157871663842</v>
      </c>
      <c r="P20" s="60">
        <f>'Financial Statements'!P6/'Financial Statements'!P48</f>
        <v>17.02135686789531</v>
      </c>
      <c r="Q20" s="60">
        <f>'Financial Statements'!Q6/'Financial Statements'!Q48</f>
        <v>16.770152045303217</v>
      </c>
    </row>
    <row r="21" spans="2:17" x14ac:dyDescent="0.35">
      <c r="B21" t="s">
        <v>122</v>
      </c>
      <c r="C21" s="60">
        <f>'Financial Statements'!C9/'Financial Statements'!C40</f>
        <v>3.0189136760426769</v>
      </c>
      <c r="D21" s="60">
        <f>'Financial Statements'!D9/'Financial Statements'!D40</f>
        <v>2.6937238493723847</v>
      </c>
      <c r="E21" s="60">
        <f>'Financial Statements'!E9/'Financial Statements'!E40</f>
        <v>2.9254787676935887</v>
      </c>
      <c r="F21" s="60">
        <f>'Financial Statements'!F9/'Financial Statements'!F40</f>
        <v>2.7357664233576644</v>
      </c>
      <c r="G21" s="60">
        <f>'Financial Statements'!G9/'Financial Statements'!G40</f>
        <v>2.8744603499204726</v>
      </c>
      <c r="H21" s="60">
        <f>'Financial Statements'!H9/'Financial Statements'!H40</f>
        <v>3.205337450374945</v>
      </c>
      <c r="I21" s="60">
        <f>'Financial Statements'!I9/'Financial Statements'!I40</f>
        <v>3.6955295592228952</v>
      </c>
      <c r="J21" s="60">
        <f>'Financial Statements'!J9/'Financial Statements'!J40</f>
        <v>3.2091359908449362</v>
      </c>
      <c r="K21" s="60">
        <f>'Financial Statements'!K9/'Financial Statements'!K40</f>
        <v>2.9623508616880248</v>
      </c>
      <c r="L21" s="60">
        <f>'Financial Statements'!L9/'Financial Statements'!L40</f>
        <v>2.6742213883677297</v>
      </c>
      <c r="M21" s="60">
        <f>'Financial Statements'!M9/'Financial Statements'!M40</f>
        <v>3.0400152268142842</v>
      </c>
      <c r="N21" s="60">
        <f>'Financial Statements'!N9/'Financial Statements'!N40</f>
        <v>3.0445250855530879</v>
      </c>
      <c r="O21" s="60">
        <f>'Financial Statements'!O9/'Financial Statements'!O40</f>
        <v>3.0485939592392071</v>
      </c>
      <c r="P21" s="60">
        <f>'Financial Statements'!P9/'Financial Statements'!P40</f>
        <v>3.0522835138481046</v>
      </c>
      <c r="Q21" s="60">
        <f>'Financial Statements'!Q9/'Financial Statements'!Q40</f>
        <v>3.055644429844651</v>
      </c>
    </row>
    <row r="22" spans="2:17" x14ac:dyDescent="0.35">
      <c r="B22" t="s">
        <v>123</v>
      </c>
      <c r="C22" s="60">
        <f>'Financial Statements'!C6/'Financial Statements'!C43</f>
        <v>7.5044127630685677</v>
      </c>
      <c r="D22" s="60">
        <f>'Financial Statements'!D6/'Financial Statements'!D43</f>
        <v>7.8500441696113077</v>
      </c>
      <c r="E22" s="60">
        <f>'Financial Statements'!E6/'Financial Statements'!E43</f>
        <v>8.3372216330858961</v>
      </c>
      <c r="F22" s="60">
        <f>'Financial Statements'!F6/'Financial Statements'!F43</f>
        <v>7.2609965322139081</v>
      </c>
      <c r="G22" s="60">
        <f>'Financial Statements'!G6/'Financial Statements'!G43</f>
        <v>0.91417685593763975</v>
      </c>
      <c r="H22" s="60">
        <f>'Financial Statements'!H6/'Financial Statements'!H43</f>
        <v>1.018903114254075</v>
      </c>
      <c r="I22" s="60">
        <f>'Financial Statements'!I6/'Financial Statements'!I43</f>
        <v>1.1500056949770303</v>
      </c>
      <c r="J22" s="60">
        <f>'Financial Statements'!J6/'Financial Statements'!J43</f>
        <v>1.1516820482286394</v>
      </c>
      <c r="K22" s="60">
        <f>'Financial Statements'!K6/'Financial Statements'!K43</f>
        <v>1.1287015735713628</v>
      </c>
      <c r="L22" s="60">
        <f>'Financial Statements'!L6/'Financial Statements'!L43</f>
        <v>1.1225882844605419</v>
      </c>
      <c r="M22" s="60">
        <f>'Financial Statements'!M6/'Financial Statements'!M43</f>
        <v>0.9536488616693517</v>
      </c>
      <c r="N22" s="60">
        <f>'Financial Statements'!N6/'Financial Statements'!N43</f>
        <v>0.91572631059868115</v>
      </c>
      <c r="O22" s="60">
        <f>'Financial Statements'!O6/'Financial Statements'!O43</f>
        <v>0.8840389922797558</v>
      </c>
      <c r="P22" s="60">
        <f>'Financial Statements'!P6/'Financial Statements'!P43</f>
        <v>0.85716592831918537</v>
      </c>
      <c r="Q22" s="60">
        <f>'Financial Statements'!Q6/'Financial Statements'!Q43</f>
        <v>0.83408743451232892</v>
      </c>
    </row>
    <row r="23" spans="2:17" x14ac:dyDescent="0.35"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2:17" x14ac:dyDescent="0.35">
      <c r="B24" s="2" t="s">
        <v>124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</row>
    <row r="25" spans="2:17" x14ac:dyDescent="0.35">
      <c r="B25" t="s">
        <v>125</v>
      </c>
      <c r="C25" s="60">
        <f>'Financial Statements'!C51/'Financial Statements'!C40</f>
        <v>0.88166828322017454</v>
      </c>
      <c r="D25" s="60">
        <f>'Financial Statements'!D51/'Financial Statements'!D40</f>
        <v>1.0192468619246862</v>
      </c>
      <c r="E25" s="60">
        <f>'Financial Statements'!E51/'Financial Statements'!E40</f>
        <v>1.1305856230918678</v>
      </c>
      <c r="F25" s="60">
        <f>'Financial Statements'!F51/'Financial Statements'!F40</f>
        <v>1.1982747179827471</v>
      </c>
      <c r="G25" s="60">
        <f>'Financial Statements'!G51/'Financial Statements'!G40</f>
        <v>1.1142922063167462</v>
      </c>
      <c r="H25" s="60">
        <f>'Financial Statements'!H51/'Financial Statements'!H40</f>
        <v>1.1224084693427436</v>
      </c>
      <c r="I25" s="60">
        <f>'Financial Statements'!I51/'Financial Statements'!I40</f>
        <v>1.2542302068101108</v>
      </c>
      <c r="J25" s="60">
        <f>'Financial Statements'!J51/'Financial Statements'!J40</f>
        <v>1.3902345985123021</v>
      </c>
      <c r="K25" s="60">
        <f>'Financial Statements'!K51/'Financial Statements'!K40</f>
        <v>1.3953159522757401</v>
      </c>
      <c r="L25" s="60">
        <f>'Financial Statements'!L51/'Financial Statements'!L40</f>
        <v>0.85673545966228892</v>
      </c>
      <c r="M25" s="60">
        <f>'Financial Statements'!M51/'Financial Statements'!M40</f>
        <v>1.1999148393159658</v>
      </c>
      <c r="N25" s="60">
        <f>'Financial Statements'!N51/'Financial Statements'!N40</f>
        <v>1.2066651236715458</v>
      </c>
      <c r="O25" s="60">
        <f>'Financial Statements'!O51/'Financial Statements'!O40</f>
        <v>1.2127553486606142</v>
      </c>
      <c r="P25" s="60">
        <f>'Financial Statements'!P51/'Financial Statements'!P40</f>
        <v>1.2182778149279461</v>
      </c>
      <c r="Q25" s="60">
        <f>'Financial Statements'!Q51/'Financial Statements'!Q40</f>
        <v>1.2233083801819509</v>
      </c>
    </row>
    <row r="26" spans="2:17" x14ac:dyDescent="0.35">
      <c r="B26" t="s">
        <v>126</v>
      </c>
      <c r="C26" s="60">
        <f>('Financial Statements'!C51-'Financial Statements'!C49)/'Financial Statements'!C40</f>
        <v>0.47090203685741999</v>
      </c>
      <c r="D26" s="60">
        <f>('Financial Statements'!D51-'Financial Statements'!D49)/'Financial Statements'!D40</f>
        <v>0.66875871687587174</v>
      </c>
      <c r="E26" s="60">
        <f>('Financial Statements'!E51-'Financial Statements'!E49)/'Financial Statements'!E40</f>
        <v>0.77338329170136</v>
      </c>
      <c r="F26" s="60">
        <f>('Financial Statements'!F51-'Financial Statements'!F49)/'Financial Statements'!F40</f>
        <v>0.83105507631055076</v>
      </c>
      <c r="G26" s="60">
        <f>('Financial Statements'!G51-'Financial Statements'!G49)/'Financial Statements'!G40</f>
        <v>0.70768007271074751</v>
      </c>
      <c r="H26" s="60">
        <f>('Financial Statements'!H51-'Financial Statements'!H49)/'Financial Statements'!H40</f>
        <v>0.67071018967798857</v>
      </c>
      <c r="I26" s="60">
        <f>('Financial Statements'!I51-'Financial Statements'!I49)/'Financial Statements'!I40</f>
        <v>0.81021516607478583</v>
      </c>
      <c r="J26" s="60">
        <f>('Financial Statements'!J51-'Financial Statements'!J49)/'Financial Statements'!J40</f>
        <v>1.0066755674232311</v>
      </c>
      <c r="K26" s="60">
        <f>('Financial Statements'!K51-'Financial Statements'!K49)/'Financial Statements'!K40</f>
        <v>1.0051259390190013</v>
      </c>
      <c r="L26" s="60">
        <f>('Financial Statements'!L51-'Financial Statements'!L49)/'Financial Statements'!L40</f>
        <v>0.49733583489681049</v>
      </c>
      <c r="M26" s="60">
        <f>('Financial Statements'!M51-'Financial Statements'!M49)/'Financial Statements'!M40</f>
        <v>0.80719438327048176</v>
      </c>
      <c r="N26" s="60">
        <f>('Financial Statements'!N51-'Financial Statements'!N49)/'Financial Statements'!N40</f>
        <v>0.81386520409978147</v>
      </c>
      <c r="O26" s="60">
        <f>('Financial Statements'!O51-'Financial Statements'!O49)/'Financial Statements'!O40</f>
        <v>0.81988373570113793</v>
      </c>
      <c r="P26" s="60">
        <f>('Financial Statements'!P51-'Financial Statements'!P49)/'Financial Statements'!P40</f>
        <v>0.82534119216736357</v>
      </c>
      <c r="Q26" s="60">
        <f>('Financial Statements'!Q51-'Financial Statements'!Q49)/'Financial Statements'!Q40</f>
        <v>0.83031253821915307</v>
      </c>
    </row>
    <row r="27" spans="2:17" x14ac:dyDescent="0.35">
      <c r="B27" t="s">
        <v>127</v>
      </c>
      <c r="C27" s="60">
        <f>'Financial Statements'!C50/'Financial Statements'!C40</f>
        <v>0.29550598124797933</v>
      </c>
      <c r="D27" s="60">
        <f>'Financial Statements'!D50/'Financial Statements'!D40</f>
        <v>0.48605299860529988</v>
      </c>
      <c r="E27" s="60">
        <f>'Financial Statements'!E50/'Financial Statements'!E40</f>
        <v>0.5213710796558424</v>
      </c>
      <c r="F27" s="60">
        <f>'Financial Statements'!F50/'Financial Statements'!F40</f>
        <v>0.67856668878566684</v>
      </c>
      <c r="G27" s="60">
        <f>'Financial Statements'!G50/'Financial Statements'!G40</f>
        <v>0.50795273801408769</v>
      </c>
      <c r="H27" s="60">
        <f>'Financial Statements'!H50/'Financial Statements'!H40</f>
        <v>0.42412880458756064</v>
      </c>
      <c r="I27" s="60">
        <f>'Financial Statements'!I50/'Financial Statements'!I40</f>
        <v>0.48861499895550448</v>
      </c>
      <c r="J27" s="60">
        <f>'Financial Statements'!J50/'Financial Statements'!J40</f>
        <v>0.72086591646004194</v>
      </c>
      <c r="K27" s="60">
        <f>'Financial Statements'!K50/'Financial Statements'!K40</f>
        <v>0.66760936809544857</v>
      </c>
      <c r="L27" s="60">
        <f>'Financial Statements'!L50/'Financial Statements'!L40</f>
        <v>0.24375234521575986</v>
      </c>
      <c r="M27" s="60">
        <f>'Financial Statements'!M50/'Financial Statements'!M40</f>
        <v>0.50243724283674873</v>
      </c>
      <c r="N27" s="60">
        <f>'Financial Statements'!N50/'Financial Statements'!N40</f>
        <v>0.50245781462449624</v>
      </c>
      <c r="O27" s="60">
        <f>'Financial Statements'!O50/'Financial Statements'!O40</f>
        <v>0.50247637485236318</v>
      </c>
      <c r="P27" s="60">
        <f>'Financial Statements'!P50/'Financial Statements'!P40</f>
        <v>0.50249320481061532</v>
      </c>
      <c r="Q27" s="60">
        <f>'Financial Statements'!Q50/'Financial Statements'!Q40</f>
        <v>0.50250853567894627</v>
      </c>
    </row>
    <row r="28" spans="2:17" x14ac:dyDescent="0.35"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</row>
    <row r="29" spans="2:17" x14ac:dyDescent="0.35">
      <c r="B29" s="2" t="s">
        <v>128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2:17" x14ac:dyDescent="0.35">
      <c r="B30" t="s">
        <v>129</v>
      </c>
      <c r="C30" s="60">
        <f>'Financial Statements'!C30/'Data Sheet'!B94</f>
        <v>17.945756133622879</v>
      </c>
      <c r="D30" s="60">
        <f>'Financial Statements'!D30/'Data Sheet'!C94</f>
        <v>22.51790251790252</v>
      </c>
      <c r="E30" s="60">
        <f>'Financial Statements'!E30/'Data Sheet'!D94</f>
        <v>26.507137247655564</v>
      </c>
      <c r="F30" s="60">
        <f>'Financial Statements'!F30/'Data Sheet'!E94</f>
        <v>29.249815225424982</v>
      </c>
      <c r="G30" s="60">
        <f>'Financial Statements'!G30/'Data Sheet'!F94</f>
        <v>33.320565202587673</v>
      </c>
      <c r="H30" s="60">
        <f>'Financial Statements'!H30/'Data Sheet'!G94</f>
        <v>36.912665985699689</v>
      </c>
      <c r="I30" s="60">
        <f>'Financial Statements'!I30/'Data Sheet'!H94</f>
        <v>41.262342526387471</v>
      </c>
      <c r="J30" s="60">
        <f>'Financial Statements'!J30/'Data Sheet'!I94</f>
        <v>40.283452502553622</v>
      </c>
      <c r="K30" s="60">
        <f>'Financial Statements'!K30/'Data Sheet'!J94</f>
        <v>39.649302008852572</v>
      </c>
      <c r="L30" s="60">
        <f>'Financial Statements'!L30/'Data Sheet'!K94</f>
        <v>43.139257745999316</v>
      </c>
      <c r="M30" s="60">
        <f>FORECAST(M$3,$C30:$L30,$C$3:$L$3)</f>
        <v>48.247882846782829</v>
      </c>
      <c r="N30" s="60">
        <f t="shared" ref="N30:Q32" si="0">FORECAST(N$3,$C30:$L30,$C$3:$L$3)</f>
        <v>50.996968722764677</v>
      </c>
      <c r="O30" s="60">
        <f t="shared" si="0"/>
        <v>53.746054598746525</v>
      </c>
      <c r="P30" s="60">
        <f t="shared" si="0"/>
        <v>56.495140474728373</v>
      </c>
      <c r="Q30" s="60">
        <f t="shared" si="0"/>
        <v>59.244226350710221</v>
      </c>
    </row>
    <row r="31" spans="2:17" x14ac:dyDescent="0.35">
      <c r="B31" t="s">
        <v>130</v>
      </c>
      <c r="C31" s="60">
        <f>'Data Sheet'!B91/'Ratio Analysis'!C30</f>
        <v>48.624866709577759</v>
      </c>
      <c r="D31" s="60">
        <f>'Data Sheet'!C91/'Ratio Analysis'!D30</f>
        <v>56.670908801805489</v>
      </c>
      <c r="E31" s="60">
        <f>'Data Sheet'!D91/'Ratio Analysis'!E30</f>
        <v>61.626043760892294</v>
      </c>
      <c r="F31" s="60">
        <f>'Data Sheet'!E91/'Ratio Analysis'!F30</f>
        <v>75.208338344914722</v>
      </c>
      <c r="G31" s="60">
        <f>'Data Sheet'!F91/'Ratio Analysis'!G30</f>
        <v>69.84035192234002</v>
      </c>
      <c r="H31" s="60">
        <f>'Data Sheet'!G91/'Ratio Analysis'!H30</f>
        <v>53.117268765133176</v>
      </c>
      <c r="I31" s="60">
        <f>'Data Sheet'!H91/'Ratio Analysis'!I30</f>
        <v>59.386836761217126</v>
      </c>
      <c r="J31" s="60">
        <f>'Data Sheet'!I91/'Ratio Analysis'!J30</f>
        <v>53.797275689381934</v>
      </c>
      <c r="K31" s="60">
        <f>'Data Sheet'!J91/'Ratio Analysis'!K30</f>
        <v>54.525045598969513</v>
      </c>
      <c r="L31" s="60">
        <f>'Data Sheet'!K91/'Ratio Analysis'!L30</f>
        <v>47.64106077348066</v>
      </c>
      <c r="M31" s="60">
        <f>FORECAST(M$3,$C31:$L31,$C$3:$L$3)</f>
        <v>53.805374786372823</v>
      </c>
      <c r="N31" s="60">
        <f t="shared" si="0"/>
        <v>53.037245997122625</v>
      </c>
      <c r="O31" s="60">
        <f t="shared" si="0"/>
        <v>52.269117207872426</v>
      </c>
      <c r="P31" s="60">
        <f t="shared" si="0"/>
        <v>51.500988418622214</v>
      </c>
      <c r="Q31" s="60">
        <f t="shared" si="0"/>
        <v>50.732859629372015</v>
      </c>
    </row>
    <row r="32" spans="2:17" x14ac:dyDescent="0.35">
      <c r="B32" t="s">
        <v>131</v>
      </c>
      <c r="C32" s="60">
        <f>SUM('Financial Statements'!C36:C37)/'Data Sheet'!B94</f>
        <v>31.16019036177979</v>
      </c>
      <c r="D32" s="60">
        <f>SUM('Financial Statements'!D36:D37)/'Data Sheet'!C94</f>
        <v>33.638253638253637</v>
      </c>
      <c r="E32" s="60">
        <f>SUM('Financial Statements'!E36:E37)/'Data Sheet'!D94</f>
        <v>36.34221832124544</v>
      </c>
      <c r="F32" s="60">
        <f>SUM('Financial Statements'!F36:F37)/'Data Sheet'!E94</f>
        <v>38.012749445676278</v>
      </c>
      <c r="G32" s="60">
        <f>SUM('Financial Statements'!G36:G37)/'Data Sheet'!F94</f>
        <v>202.90262172284645</v>
      </c>
      <c r="H32" s="60">
        <f>SUM('Financial Statements'!H36:H37)/'Data Sheet'!G94</f>
        <v>208.80575417092271</v>
      </c>
      <c r="I32" s="60">
        <f>SUM('Financial Statements'!I36:I37)/'Data Sheet'!H94</f>
        <v>214.09601634320734</v>
      </c>
      <c r="J32" s="60">
        <f>SUM('Financial Statements'!J36:J37)/'Data Sheet'!I94</f>
        <v>217.98604017705139</v>
      </c>
      <c r="K32" s="60">
        <f>SUM('Financial Statements'!K36:K37)/'Data Sheet'!J94</f>
        <v>210.25706503234593</v>
      </c>
      <c r="L32" s="60">
        <f>SUM('Financial Statements'!L36:L37)/'Data Sheet'!K94</f>
        <v>207.43530813755532</v>
      </c>
      <c r="M32" s="60">
        <f>FORECAST(M$3,$C32:$L32,$C$3:$L$3)</f>
        <v>282.20644890044423</v>
      </c>
      <c r="N32" s="60">
        <f t="shared" si="0"/>
        <v>307.96696126698134</v>
      </c>
      <c r="O32" s="60">
        <f t="shared" si="0"/>
        <v>333.727473633518</v>
      </c>
      <c r="P32" s="60">
        <f t="shared" si="0"/>
        <v>359.48798600005512</v>
      </c>
      <c r="Q32" s="60">
        <f t="shared" si="0"/>
        <v>385.24849836659223</v>
      </c>
    </row>
    <row r="34" spans="2:17" x14ac:dyDescent="0.35">
      <c r="B34" t="s">
        <v>189</v>
      </c>
    </row>
    <row r="35" spans="2:17" x14ac:dyDescent="0.35">
      <c r="B35" t="s">
        <v>190</v>
      </c>
    </row>
    <row r="36" spans="2:17" x14ac:dyDescent="0.35">
      <c r="B36" t="s">
        <v>191</v>
      </c>
      <c r="C36">
        <f>365/C19</f>
        <v>49.663453815261043</v>
      </c>
      <c r="D36">
        <f t="shared" ref="D36:L36" si="1">365/D19</f>
        <v>47.491198094646371</v>
      </c>
      <c r="E36">
        <f t="shared" si="1"/>
        <v>44.566671410274651</v>
      </c>
      <c r="F36">
        <f t="shared" si="1"/>
        <v>48.993645095566123</v>
      </c>
      <c r="G36">
        <f t="shared" si="1"/>
        <v>51.631753685625071</v>
      </c>
      <c r="H36">
        <f t="shared" si="1"/>
        <v>51.436042111057596</v>
      </c>
      <c r="I36">
        <f t="shared" si="1"/>
        <v>43.854469913230261</v>
      </c>
      <c r="J36">
        <f t="shared" si="1"/>
        <v>43.625152298594394</v>
      </c>
      <c r="K36">
        <f t="shared" si="1"/>
        <v>48.076464094990904</v>
      </c>
      <c r="L36">
        <f t="shared" si="1"/>
        <v>49.053853061682666</v>
      </c>
      <c r="M36" s="60">
        <f>FORECAST(M$3,$C36:$L36,$C$3:$L$3)</f>
        <v>47.11606322422999</v>
      </c>
      <c r="N36" s="60">
        <f>FORECAST(N$3,$C36:$L36,$C$3:$L$3)</f>
        <v>46.984996559193348</v>
      </c>
      <c r="O36" s="60">
        <f>FORECAST(O$3,$C36:$L36,$C$3:$L$3)</f>
        <v>46.8539298941567</v>
      </c>
      <c r="P36" s="60">
        <f>FORECAST(P$3,$C36:$L36,$C$3:$L$3)</f>
        <v>46.722863229120051</v>
      </c>
      <c r="Q36" s="60">
        <f>FORECAST(Q$3,$C36:$L36,$C$3:$L$3)</f>
        <v>46.59179656408341</v>
      </c>
    </row>
    <row r="37" spans="2:17" x14ac:dyDescent="0.35">
      <c r="B37" t="s">
        <v>192</v>
      </c>
      <c r="C37">
        <f>365/C20</f>
        <v>11.942132561365419</v>
      </c>
      <c r="D37">
        <f t="shared" ref="D37:L37" si="2">365/D20</f>
        <v>13.4519623013082</v>
      </c>
      <c r="E37">
        <f t="shared" si="2"/>
        <v>16.861867209361485</v>
      </c>
      <c r="F37">
        <f t="shared" si="2"/>
        <v>10.541814342809742</v>
      </c>
      <c r="G37">
        <f t="shared" si="2"/>
        <v>13.644424598111764</v>
      </c>
      <c r="H37">
        <f t="shared" si="2"/>
        <v>15.561529954619989</v>
      </c>
      <c r="I37">
        <f t="shared" si="2"/>
        <v>18.551254539451964</v>
      </c>
      <c r="J37">
        <f t="shared" si="2"/>
        <v>17.673274525009695</v>
      </c>
      <c r="K37">
        <f t="shared" si="2"/>
        <v>22.729177537177147</v>
      </c>
      <c r="L37">
        <f t="shared" si="2"/>
        <v>19.13096419929267</v>
      </c>
      <c r="M37" s="60">
        <f t="shared" ref="M37:Q38" si="3">FORECAST(M$3,$C37:$L37,$C$3:$L$3)</f>
        <v>21.32864054598349</v>
      </c>
      <c r="N37" s="60">
        <f t="shared" si="3"/>
        <v>22.292746761748631</v>
      </c>
      <c r="O37" s="60">
        <f t="shared" si="3"/>
        <v>23.256852977513773</v>
      </c>
      <c r="P37" s="60">
        <f t="shared" si="3"/>
        <v>24.220959193278915</v>
      </c>
      <c r="Q37" s="60">
        <f t="shared" si="3"/>
        <v>25.185065409044057</v>
      </c>
    </row>
    <row r="38" spans="2:17" x14ac:dyDescent="0.35">
      <c r="B38" t="s">
        <v>193</v>
      </c>
      <c r="C38">
        <f>365/C21</f>
        <v>120.90441767068273</v>
      </c>
      <c r="D38">
        <f t="shared" ref="D38:L38" si="4">365/D21</f>
        <v>135.50015532774154</v>
      </c>
      <c r="E38">
        <f t="shared" si="4"/>
        <v>124.76590294578055</v>
      </c>
      <c r="F38">
        <f t="shared" si="4"/>
        <v>133.41782283884737</v>
      </c>
      <c r="G38">
        <f t="shared" si="4"/>
        <v>126.98035650764793</v>
      </c>
      <c r="H38">
        <f t="shared" si="4"/>
        <v>113.87256588453863</v>
      </c>
      <c r="I38">
        <f t="shared" si="4"/>
        <v>98.76798281563552</v>
      </c>
      <c r="J38">
        <f t="shared" si="4"/>
        <v>113.73777896644974</v>
      </c>
      <c r="K38">
        <f t="shared" si="4"/>
        <v>123.21295384707182</v>
      </c>
      <c r="L38">
        <f t="shared" si="4"/>
        <v>136.48832575630016</v>
      </c>
      <c r="M38" s="60">
        <f t="shared" si="3"/>
        <v>118.83516572352303</v>
      </c>
      <c r="N38" s="60">
        <f t="shared" si="3"/>
        <v>118.12299423542399</v>
      </c>
      <c r="O38" s="60">
        <f t="shared" si="3"/>
        <v>117.41082274732493</v>
      </c>
      <c r="P38" s="60">
        <f t="shared" si="3"/>
        <v>116.69865125922588</v>
      </c>
      <c r="Q38" s="60">
        <f t="shared" si="3"/>
        <v>115.98647977112682</v>
      </c>
    </row>
    <row r="40" spans="2:17" x14ac:dyDescent="0.35">
      <c r="B40" t="s">
        <v>194</v>
      </c>
      <c r="C40">
        <f>SUM(C36:C37)-C38</f>
        <v>-59.298831294056271</v>
      </c>
      <c r="D40">
        <f t="shared" ref="D40:Q40" si="5">SUM(D36:D37)-D38</f>
        <v>-74.55699493178696</v>
      </c>
      <c r="E40">
        <f t="shared" si="5"/>
        <v>-63.337364326144417</v>
      </c>
      <c r="F40">
        <f t="shared" si="5"/>
        <v>-73.882363400471505</v>
      </c>
      <c r="G40">
        <f t="shared" si="5"/>
        <v>-61.704178223911086</v>
      </c>
      <c r="H40">
        <f t="shared" si="5"/>
        <v>-46.874993818861043</v>
      </c>
      <c r="I40">
        <f t="shared" si="5"/>
        <v>-36.362258362953298</v>
      </c>
      <c r="J40">
        <f t="shared" si="5"/>
        <v>-52.439352142845649</v>
      </c>
      <c r="K40">
        <f t="shared" si="5"/>
        <v>-52.407312214903769</v>
      </c>
      <c r="L40">
        <f t="shared" si="5"/>
        <v>-68.30350849532482</v>
      </c>
      <c r="M40">
        <f t="shared" si="5"/>
        <v>-50.390461953309554</v>
      </c>
      <c r="N40">
        <f t="shared" si="5"/>
        <v>-48.845250914482008</v>
      </c>
      <c r="O40">
        <f t="shared" si="5"/>
        <v>-47.300039875654463</v>
      </c>
      <c r="P40">
        <f t="shared" si="5"/>
        <v>-45.754828836826917</v>
      </c>
      <c r="Q40">
        <f t="shared" si="5"/>
        <v>-44.209617797999357</v>
      </c>
    </row>
  </sheetData>
  <mergeCells count="1">
    <mergeCell ref="B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ECC2-E5CB-4910-98F7-7DFAAB30BCCF}">
  <dimension ref="A2:D17"/>
  <sheetViews>
    <sheetView showGridLines="0" workbookViewId="0">
      <selection activeCell="O6" sqref="O6"/>
    </sheetView>
  </sheetViews>
  <sheetFormatPr defaultRowHeight="14.5" x14ac:dyDescent="0.35"/>
  <cols>
    <col min="1" max="1" width="2.1796875" customWidth="1"/>
    <col min="2" max="2" width="10.08984375" bestFit="1" customWidth="1"/>
    <col min="3" max="3" width="10.26953125" bestFit="1" customWidth="1"/>
  </cols>
  <sheetData>
    <row r="2" spans="1:4" x14ac:dyDescent="0.35">
      <c r="A2" t="s">
        <v>94</v>
      </c>
      <c r="B2" t="s">
        <v>93</v>
      </c>
      <c r="C2" t="s">
        <v>198</v>
      </c>
      <c r="D2" t="s">
        <v>199</v>
      </c>
    </row>
    <row r="3" spans="1:4" x14ac:dyDescent="0.35">
      <c r="B3" s="65">
        <v>42795</v>
      </c>
      <c r="C3" s="66">
        <f>'Financial Statements'!C6</f>
        <v>33162</v>
      </c>
      <c r="D3" s="67">
        <v>0</v>
      </c>
    </row>
    <row r="4" spans="1:4" x14ac:dyDescent="0.35">
      <c r="B4" s="65">
        <v>43160</v>
      </c>
      <c r="C4" s="66">
        <f>'Financial Statements'!D6</f>
        <v>35545</v>
      </c>
      <c r="D4" s="59">
        <f>(C4-C3)/C3</f>
        <v>7.1859357095470713E-2</v>
      </c>
    </row>
    <row r="5" spans="1:4" x14ac:dyDescent="0.35">
      <c r="B5" s="65">
        <v>43525</v>
      </c>
      <c r="C5" s="66">
        <f>'Financial Statements'!E6</f>
        <v>39310</v>
      </c>
      <c r="D5" s="59">
        <f t="shared" ref="D5:D17" si="0">(C5-C4)/C4</f>
        <v>0.10592207061471375</v>
      </c>
    </row>
    <row r="6" spans="1:4" x14ac:dyDescent="0.35">
      <c r="B6" s="65">
        <v>43891</v>
      </c>
      <c r="C6" s="66">
        <f>'Financial Statements'!F6</f>
        <v>39783</v>
      </c>
      <c r="D6" s="59">
        <f t="shared" si="0"/>
        <v>1.2032561689137624E-2</v>
      </c>
    </row>
    <row r="7" spans="1:4" x14ac:dyDescent="0.35">
      <c r="B7" s="65">
        <v>44256</v>
      </c>
      <c r="C7" s="66">
        <f>'Financial Statements'!G6</f>
        <v>47028</v>
      </c>
      <c r="D7" s="59">
        <f t="shared" si="0"/>
        <v>0.18211296282331649</v>
      </c>
    </row>
    <row r="8" spans="1:4" x14ac:dyDescent="0.35">
      <c r="B8" s="65">
        <v>44621</v>
      </c>
      <c r="C8" s="66">
        <f>'Financial Statements'!H6</f>
        <v>52446</v>
      </c>
      <c r="D8" s="59">
        <f t="shared" si="0"/>
        <v>0.11520796121459556</v>
      </c>
    </row>
    <row r="9" spans="1:4" x14ac:dyDescent="0.35">
      <c r="B9" s="65">
        <v>44986</v>
      </c>
      <c r="C9" s="66">
        <f>'Financial Statements'!I6</f>
        <v>60580</v>
      </c>
      <c r="D9" s="59">
        <f t="shared" si="0"/>
        <v>0.15509285741524617</v>
      </c>
    </row>
    <row r="10" spans="1:4" x14ac:dyDescent="0.35">
      <c r="B10" s="65">
        <v>45352</v>
      </c>
      <c r="C10" s="66">
        <f>'Financial Statements'!J6</f>
        <v>61896</v>
      </c>
      <c r="D10" s="59">
        <f t="shared" si="0"/>
        <v>2.1723341036645756E-2</v>
      </c>
    </row>
    <row r="11" spans="1:4" x14ac:dyDescent="0.35">
      <c r="B11" s="65">
        <v>45717</v>
      </c>
      <c r="C11" s="66">
        <f>'Financial Statements'!K6</f>
        <v>61328</v>
      </c>
      <c r="D11" s="59">
        <f t="shared" si="0"/>
        <v>-9.1766834690448496E-3</v>
      </c>
    </row>
    <row r="12" spans="1:4" x14ac:dyDescent="0.35">
      <c r="B12" s="65">
        <v>46082</v>
      </c>
      <c r="C12" s="66">
        <f>'Financial Statements'!L6</f>
        <v>64468</v>
      </c>
      <c r="D12" s="59">
        <f t="shared" si="0"/>
        <v>5.1200104356900603E-2</v>
      </c>
    </row>
    <row r="13" spans="1:4" x14ac:dyDescent="0.35">
      <c r="B13" s="65">
        <v>46447</v>
      </c>
      <c r="C13" s="66">
        <f>'Financial Statements'!M6</f>
        <v>70982.404077328276</v>
      </c>
      <c r="D13" s="59">
        <f t="shared" si="0"/>
        <v>0.10104864548812241</v>
      </c>
    </row>
    <row r="14" spans="1:4" x14ac:dyDescent="0.35">
      <c r="B14" s="65">
        <v>46813</v>
      </c>
      <c r="C14" s="66">
        <f>'Financial Statements'!N6</f>
        <v>74865.760156067379</v>
      </c>
      <c r="D14" s="59">
        <f t="shared" si="0"/>
        <v>5.4708714493645109E-2</v>
      </c>
    </row>
    <row r="15" spans="1:4" x14ac:dyDescent="0.35">
      <c r="B15" s="65">
        <v>47178</v>
      </c>
      <c r="C15" s="66">
        <f>'Financial Statements'!O6</f>
        <v>78749.116234806483</v>
      </c>
      <c r="D15" s="59">
        <f t="shared" si="0"/>
        <v>5.1870922977924012E-2</v>
      </c>
    </row>
    <row r="16" spans="1:4" x14ac:dyDescent="0.35">
      <c r="B16" s="65">
        <v>47543</v>
      </c>
      <c r="C16" s="66">
        <f>'Financial Statements'!P6</f>
        <v>82632.472313545586</v>
      </c>
      <c r="D16" s="59">
        <f t="shared" si="0"/>
        <v>4.9313011553807011E-2</v>
      </c>
    </row>
    <row r="17" spans="2:4" x14ac:dyDescent="0.35">
      <c r="B17" s="65">
        <v>47908</v>
      </c>
      <c r="C17" s="66">
        <f>'Financial Statements'!Q6</f>
        <v>86515.828392284689</v>
      </c>
      <c r="D17" s="59">
        <f t="shared" si="0"/>
        <v>4.6995520889219738E-2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B3E3-B396-4F1A-A713-59D78C0899B3}">
  <dimension ref="B2:R23"/>
  <sheetViews>
    <sheetView showGridLines="0" workbookViewId="0">
      <selection activeCell="K19" sqref="K19"/>
    </sheetView>
  </sheetViews>
  <sheetFormatPr defaultRowHeight="14.5" x14ac:dyDescent="0.35"/>
  <cols>
    <col min="1" max="1" width="2.1796875" customWidth="1"/>
    <col min="2" max="2" width="16.453125" customWidth="1"/>
    <col min="3" max="3" width="10.08984375" bestFit="1" customWidth="1"/>
    <col min="4" max="4" width="17.36328125" bestFit="1" customWidth="1"/>
    <col min="5" max="5" width="10.6328125" bestFit="1" customWidth="1"/>
    <col min="6" max="6" width="8.36328125" bestFit="1" customWidth="1"/>
    <col min="7" max="7" width="14.7265625" bestFit="1" customWidth="1"/>
    <col min="9" max="9" width="8.453125" bestFit="1" customWidth="1"/>
    <col min="10" max="10" width="11.1796875" customWidth="1"/>
    <col min="11" max="11" width="10.6328125" customWidth="1"/>
    <col min="12" max="12" width="10.453125" bestFit="1" customWidth="1"/>
    <col min="14" max="14" width="18.54296875" customWidth="1"/>
    <col min="15" max="15" width="16.08984375" customWidth="1"/>
    <col min="16" max="16" width="12.26953125" customWidth="1"/>
  </cols>
  <sheetData>
    <row r="2" spans="2:18" x14ac:dyDescent="0.35">
      <c r="B2" s="74" t="str">
        <f>_xlfn.CONCAT("Comp Analysis of ",'Data Sheet'!B1)</f>
        <v>Comp Analysis of HINDUSTAN UNILEVER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2:18" x14ac:dyDescent="0.35">
      <c r="B3" s="26"/>
      <c r="C3" s="74" t="s">
        <v>208</v>
      </c>
      <c r="D3" s="74"/>
      <c r="E3" s="74"/>
      <c r="F3" s="74"/>
      <c r="G3" s="74"/>
      <c r="H3" s="26"/>
      <c r="I3" s="74" t="s">
        <v>209</v>
      </c>
      <c r="J3" s="74"/>
      <c r="K3" s="74"/>
      <c r="L3" s="74"/>
      <c r="M3" s="26"/>
      <c r="N3" s="74" t="s">
        <v>210</v>
      </c>
      <c r="O3" s="74"/>
      <c r="P3" s="74"/>
      <c r="Q3" s="26"/>
      <c r="R3" s="26"/>
    </row>
    <row r="4" spans="2:18" x14ac:dyDescent="0.35">
      <c r="B4" s="26" t="s">
        <v>200</v>
      </c>
      <c r="C4" s="26" t="s">
        <v>197</v>
      </c>
      <c r="D4" s="26" t="s">
        <v>201</v>
      </c>
      <c r="E4" s="26" t="s">
        <v>202</v>
      </c>
      <c r="F4" s="26" t="s">
        <v>203</v>
      </c>
      <c r="G4" s="26" t="s">
        <v>196</v>
      </c>
      <c r="H4" s="26"/>
      <c r="I4" s="26" t="s">
        <v>95</v>
      </c>
      <c r="J4" s="26" t="s">
        <v>101</v>
      </c>
      <c r="K4" s="26" t="s">
        <v>195</v>
      </c>
      <c r="L4" s="26" t="s">
        <v>204</v>
      </c>
      <c r="M4" s="26"/>
      <c r="N4" s="26" t="s">
        <v>205</v>
      </c>
      <c r="O4" s="26" t="s">
        <v>206</v>
      </c>
      <c r="P4" s="26" t="s">
        <v>207</v>
      </c>
      <c r="Q4" s="26"/>
      <c r="R4" s="26"/>
    </row>
    <row r="5" spans="2:18" x14ac:dyDescent="0.35">
      <c r="B5" t="s">
        <v>211</v>
      </c>
      <c r="C5">
        <v>2135.8000000000002</v>
      </c>
      <c r="D5">
        <v>234.96</v>
      </c>
      <c r="E5">
        <f>C5*D5</f>
        <v>501827.56800000009</v>
      </c>
      <c r="F5">
        <f>'Financial Statements'!L38-'Financial Statements'!L50</f>
        <v>-1770</v>
      </c>
      <c r="G5">
        <f>SUM(E5,F5)</f>
        <v>500057.56800000009</v>
      </c>
      <c r="I5">
        <f>'Financial Statements'!L6</f>
        <v>64468</v>
      </c>
      <c r="J5">
        <f>'Financial Statements'!L15</f>
        <v>15039</v>
      </c>
      <c r="K5">
        <f>'Financial Statements'!L20</f>
        <v>13706</v>
      </c>
      <c r="L5">
        <f>'Financial Statements'!L30</f>
        <v>10136</v>
      </c>
      <c r="N5" s="68">
        <f>G5/I5</f>
        <v>7.7566787863746365</v>
      </c>
      <c r="O5" s="68">
        <f>G5/J5</f>
        <v>33.250719329742672</v>
      </c>
      <c r="P5" s="68">
        <f>E5/L5</f>
        <v>49.509428571428579</v>
      </c>
    </row>
    <row r="6" spans="2:18" x14ac:dyDescent="0.35">
      <c r="B6" t="s">
        <v>212</v>
      </c>
      <c r="C6">
        <v>280</v>
      </c>
      <c r="D6">
        <v>1252.95</v>
      </c>
      <c r="E6">
        <f>C6*D6</f>
        <v>350826</v>
      </c>
      <c r="F6">
        <f>2399-3009</f>
        <v>-610</v>
      </c>
      <c r="G6">
        <f>SUM(E6,F6)</f>
        <v>350216</v>
      </c>
      <c r="I6">
        <v>78868</v>
      </c>
      <c r="J6">
        <v>29829</v>
      </c>
      <c r="K6">
        <v>28118</v>
      </c>
      <c r="L6">
        <v>21018</v>
      </c>
      <c r="N6" s="68">
        <f>G6/I6</f>
        <v>4.4405335497286602</v>
      </c>
      <c r="O6" s="68">
        <f>G6/J6</f>
        <v>11.740789164906634</v>
      </c>
      <c r="P6" s="68">
        <f>E6/L6</f>
        <v>16.691692834713102</v>
      </c>
    </row>
    <row r="7" spans="2:18" x14ac:dyDescent="0.35">
      <c r="B7" t="s">
        <v>213</v>
      </c>
      <c r="C7">
        <v>532.5</v>
      </c>
      <c r="D7">
        <v>12.12</v>
      </c>
      <c r="E7">
        <f>C7*D7</f>
        <v>6453.9</v>
      </c>
      <c r="F7">
        <f>1088-52</f>
        <v>1036</v>
      </c>
      <c r="G7">
        <f>SUM(E7,F7)</f>
        <v>7489.9</v>
      </c>
      <c r="I7">
        <v>1117</v>
      </c>
      <c r="J7">
        <v>103</v>
      </c>
      <c r="K7">
        <v>80</v>
      </c>
      <c r="L7">
        <v>42</v>
      </c>
      <c r="N7" s="68">
        <f>G7/I7</f>
        <v>6.7053715308863024</v>
      </c>
      <c r="O7" s="68">
        <f>G7/J7</f>
        <v>72.717475728155335</v>
      </c>
      <c r="P7" s="68">
        <f>E7/L7</f>
        <v>153.66428571428571</v>
      </c>
    </row>
    <row r="8" spans="2:18" x14ac:dyDescent="0.35">
      <c r="B8" t="s">
        <v>214</v>
      </c>
      <c r="C8">
        <v>260.60000000000002</v>
      </c>
      <c r="D8">
        <v>5.12</v>
      </c>
      <c r="E8">
        <f>C8*D8</f>
        <v>1334.2720000000002</v>
      </c>
      <c r="F8">
        <f>531-32</f>
        <v>499</v>
      </c>
      <c r="G8">
        <f>SUM(E8,F8)</f>
        <v>1833.2720000000002</v>
      </c>
      <c r="I8">
        <v>1988</v>
      </c>
      <c r="J8">
        <v>108</v>
      </c>
      <c r="K8">
        <v>54</v>
      </c>
      <c r="L8">
        <v>4</v>
      </c>
      <c r="N8" s="68">
        <f>G8/I8</f>
        <v>0.92216901408450713</v>
      </c>
      <c r="O8" s="68">
        <f>G8/J8</f>
        <v>16.974740740740742</v>
      </c>
      <c r="P8" s="68">
        <f>E8/L8</f>
        <v>333.56800000000004</v>
      </c>
    </row>
    <row r="10" spans="2:18" x14ac:dyDescent="0.35">
      <c r="B10" t="s">
        <v>215</v>
      </c>
      <c r="N10" s="68">
        <f>MAX(N5:N8)</f>
        <v>7.7566787863746365</v>
      </c>
      <c r="O10" s="68">
        <f>MAX(O5:O8)</f>
        <v>72.717475728155335</v>
      </c>
      <c r="P10" s="68">
        <f>MAX(P5:P8)</f>
        <v>333.56800000000004</v>
      </c>
    </row>
    <row r="11" spans="2:18" x14ac:dyDescent="0.35">
      <c r="B11" t="s">
        <v>216</v>
      </c>
      <c r="N11">
        <f>QUARTILE(N5:N8,3)</f>
        <v>6.9681983447583864</v>
      </c>
      <c r="O11">
        <f>QUARTILE(O5:O8,3)</f>
        <v>43.117408429345836</v>
      </c>
      <c r="P11">
        <f>QUARTILE(P5:P8,3)</f>
        <v>198.64021428571431</v>
      </c>
    </row>
    <row r="12" spans="2:18" x14ac:dyDescent="0.35">
      <c r="B12" t="s">
        <v>217</v>
      </c>
      <c r="N12" s="69">
        <f>MEDIAN(N5:N8)</f>
        <v>5.5729525403074813</v>
      </c>
      <c r="O12" s="69">
        <f>MEDIAN(O5:O8)</f>
        <v>25.112730035241707</v>
      </c>
      <c r="P12" s="69">
        <f>MEDIAN(P5:P8)</f>
        <v>101.58685714285716</v>
      </c>
    </row>
    <row r="13" spans="2:18" x14ac:dyDescent="0.35">
      <c r="B13" t="s">
        <v>218</v>
      </c>
      <c r="N13" s="69">
        <f>AVERAGE(N5:N8)</f>
        <v>4.9561882202685261</v>
      </c>
      <c r="O13" s="69">
        <f>AVERAGE(O5:O8)</f>
        <v>33.670931240886347</v>
      </c>
      <c r="P13" s="69">
        <f>AVERAGE(P5:P8)</f>
        <v>138.35835178010686</v>
      </c>
    </row>
    <row r="14" spans="2:18" x14ac:dyDescent="0.35">
      <c r="B14" t="s">
        <v>219</v>
      </c>
      <c r="N14">
        <f>QUARTILE(N5:N8,)</f>
        <v>0.92216901408450713</v>
      </c>
      <c r="O14">
        <f>QUARTILE(O5:O8,)</f>
        <v>11.740789164906634</v>
      </c>
      <c r="P14">
        <f>QUARTILE(P5:P8,)</f>
        <v>16.691692834713102</v>
      </c>
    </row>
    <row r="15" spans="2:18" x14ac:dyDescent="0.35">
      <c r="B15" t="s">
        <v>220</v>
      </c>
      <c r="N15" s="68">
        <f>MIN(N5:N8)</f>
        <v>0.92216901408450713</v>
      </c>
      <c r="O15" s="68">
        <f>MIN(O5:O8)</f>
        <v>11.740789164906634</v>
      </c>
      <c r="P15" s="68">
        <f>MIN(P5:P8)</f>
        <v>16.691692834713102</v>
      </c>
    </row>
    <row r="17" spans="2:16" x14ac:dyDescent="0.35">
      <c r="N17" s="26" t="s">
        <v>205</v>
      </c>
      <c r="O17" s="26" t="s">
        <v>206</v>
      </c>
      <c r="P17" s="26" t="s">
        <v>207</v>
      </c>
    </row>
    <row r="18" spans="2:16" x14ac:dyDescent="0.35">
      <c r="B18" t="s">
        <v>211</v>
      </c>
      <c r="N18" s="64">
        <f>$G$5*N12</f>
        <v>2786797.0938855815</v>
      </c>
      <c r="O18" s="64">
        <f>$G$5*O12</f>
        <v>12557810.707263524</v>
      </c>
      <c r="P18" s="64">
        <f>$G$5*P12</f>
        <v>50799276.723620586</v>
      </c>
    </row>
    <row r="19" spans="2:16" x14ac:dyDescent="0.35">
      <c r="B19" t="s">
        <v>221</v>
      </c>
      <c r="N19" s="64">
        <f>$F$5</f>
        <v>-1770</v>
      </c>
      <c r="O19" s="64">
        <f>$F$5</f>
        <v>-1770</v>
      </c>
      <c r="P19" s="64">
        <f>$F$5</f>
        <v>-1770</v>
      </c>
    </row>
    <row r="20" spans="2:16" x14ac:dyDescent="0.35">
      <c r="B20" t="s">
        <v>203</v>
      </c>
      <c r="N20" s="64">
        <f>N18+N19</f>
        <v>2785027.0938855815</v>
      </c>
      <c r="O20" s="64">
        <f>O18+O19</f>
        <v>12556040.707263524</v>
      </c>
      <c r="P20" s="64">
        <f>P18+P19</f>
        <v>50797506.723620586</v>
      </c>
    </row>
    <row r="21" spans="2:16" x14ac:dyDescent="0.35">
      <c r="B21" t="s">
        <v>222</v>
      </c>
      <c r="N21" s="64">
        <f>$D$5</f>
        <v>234.96</v>
      </c>
      <c r="O21" s="64">
        <f>$D$5</f>
        <v>234.96</v>
      </c>
      <c r="P21" s="64">
        <f>$D$5</f>
        <v>234.96</v>
      </c>
    </row>
    <row r="22" spans="2:16" x14ac:dyDescent="0.35">
      <c r="B22" t="s">
        <v>201</v>
      </c>
      <c r="N22" s="64">
        <f>N20/N21</f>
        <v>11853.196688311122</v>
      </c>
      <c r="O22" s="64">
        <f>O20/O21</f>
        <v>53439.05646605177</v>
      </c>
      <c r="P22" s="64">
        <f>P20/P21</f>
        <v>216196.40246689046</v>
      </c>
    </row>
    <row r="23" spans="2:16" x14ac:dyDescent="0.35">
      <c r="B23" t="s">
        <v>223</v>
      </c>
    </row>
  </sheetData>
  <mergeCells count="4">
    <mergeCell ref="B2:R2"/>
    <mergeCell ref="C3:G3"/>
    <mergeCell ref="I3:L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Profit &amp; Loss</vt:lpstr>
      <vt:lpstr>Quarters</vt:lpstr>
      <vt:lpstr>Balance Sheet</vt:lpstr>
      <vt:lpstr>Cash Flow</vt:lpstr>
      <vt:lpstr>Customization</vt:lpstr>
      <vt:lpstr>Data Sheet</vt:lpstr>
      <vt:lpstr>Financial Statements</vt:lpstr>
      <vt:lpstr>Sheet2</vt:lpstr>
      <vt:lpstr>Common Size Statement</vt:lpstr>
      <vt:lpstr>Ratio Analysis</vt:lpstr>
      <vt:lpstr>Trend Analysis</vt:lpstr>
      <vt:lpstr>Comp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Collin Dsouza</cp:lastModifiedBy>
  <cp:lastPrinted>2012-12-06T18:14:13Z</cp:lastPrinted>
  <dcterms:created xsi:type="dcterms:W3CDTF">2012-08-17T09:55:37Z</dcterms:created>
  <dcterms:modified xsi:type="dcterms:W3CDTF">2026-07-09T06:58:48Z</dcterms:modified>
</cp:coreProperties>
</file>